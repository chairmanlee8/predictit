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irmanlee/Documents/predictit/apps/tweets/"/>
    </mc:Choice>
  </mc:AlternateContent>
  <xr:revisionPtr revIDLastSave="0" documentId="13_ncr:1_{A18A0E5A-915E-2C45-AF15-D16DBFE4DD50}" xr6:coauthVersionLast="45" xr6:coauthVersionMax="45" xr10:uidLastSave="{00000000-0000-0000-0000-000000000000}"/>
  <bookViews>
    <workbookView xWindow="0" yWindow="1740" windowWidth="28040" windowHeight="17440" xr2:uid="{85C11FA4-BB8D-474D-8CA5-3393F4D18916}"/>
  </bookViews>
  <sheets>
    <sheet name="Sheet1" sheetId="1" r:id="rId1"/>
    <sheet name="Sheet3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" i="1" l="1"/>
  <c r="I5" i="1"/>
  <c r="K2" i="1"/>
  <c r="G2" i="1"/>
  <c r="C2" i="1"/>
  <c r="P5" i="1"/>
  <c r="F5" i="1"/>
  <c r="E5" i="1"/>
  <c r="E6" i="1"/>
  <c r="M6" i="1" l="1"/>
  <c r="N6" i="1"/>
  <c r="J6" i="1"/>
  <c r="I6" i="1"/>
  <c r="P6" i="1"/>
  <c r="F6" i="1"/>
  <c r="P7" i="1"/>
  <c r="P8" i="1"/>
  <c r="I7" i="1"/>
  <c r="J7" i="1"/>
  <c r="M7" i="1"/>
  <c r="N7" i="1"/>
  <c r="N8" i="1"/>
  <c r="M8" i="1"/>
  <c r="J8" i="1"/>
  <c r="I8" i="1"/>
  <c r="F8" i="1"/>
  <c r="E8" i="1"/>
  <c r="F7" i="1"/>
  <c r="E7" i="1"/>
  <c r="P9" i="1"/>
  <c r="N9" i="1"/>
  <c r="M9" i="1"/>
  <c r="J9" i="1"/>
  <c r="I9" i="1"/>
  <c r="F9" i="1"/>
  <c r="E9" i="1"/>
  <c r="P13" i="1" l="1"/>
  <c r="P14" i="1"/>
  <c r="P15" i="1"/>
  <c r="M13" i="1"/>
  <c r="N13" i="1"/>
  <c r="M14" i="1"/>
  <c r="N14" i="1"/>
  <c r="M15" i="1"/>
  <c r="N15" i="1"/>
  <c r="I13" i="1"/>
  <c r="J13" i="1"/>
  <c r="I14" i="1"/>
  <c r="J14" i="1"/>
  <c r="I15" i="1"/>
  <c r="J15" i="1"/>
  <c r="E13" i="1"/>
  <c r="F13" i="1"/>
  <c r="E14" i="1"/>
  <c r="F14" i="1"/>
  <c r="E15" i="1"/>
  <c r="F15" i="1"/>
  <c r="N2" i="1"/>
  <c r="J2" i="1"/>
  <c r="F2" i="1"/>
  <c r="M10" i="1"/>
  <c r="M11" i="1"/>
  <c r="M12" i="1"/>
  <c r="I10" i="1"/>
  <c r="I11" i="1"/>
  <c r="I12" i="1"/>
  <c r="E10" i="1"/>
  <c r="S3" i="1" s="1"/>
  <c r="E11" i="1"/>
  <c r="E12" i="1"/>
  <c r="F12" i="1"/>
  <c r="P10" i="1"/>
  <c r="P11" i="1"/>
  <c r="P12" i="1"/>
  <c r="N12" i="1"/>
  <c r="J12" i="1"/>
  <c r="F10" i="1"/>
  <c r="F11" i="1"/>
  <c r="J10" i="1"/>
  <c r="J11" i="1"/>
  <c r="N10" i="1"/>
  <c r="N11" i="1"/>
  <c r="S2" i="1" l="1"/>
  <c r="P2" i="1"/>
</calcChain>
</file>

<file path=xl/sharedStrings.xml><?xml version="1.0" encoding="utf-8"?>
<sst xmlns="http://schemas.openxmlformats.org/spreadsheetml/2006/main" count="699" uniqueCount="326">
  <si>
    <t>Week</t>
  </si>
  <si>
    <t>Fees</t>
  </si>
  <si>
    <t>Net</t>
  </si>
  <si>
    <t>P/L</t>
  </si>
  <si>
    <t>NET</t>
  </si>
  <si>
    <t>Max Abs</t>
  </si>
  <si>
    <t>Min Abs</t>
  </si>
  <si>
    <t>Q</t>
  </si>
  <si>
    <t>placeholder</t>
  </si>
  <si>
    <t>Contract</t>
  </si>
  <si>
    <t>Profit/Loss</t>
  </si>
  <si>
    <t>(Fees)</t>
  </si>
  <si>
    <t>Risk Adj.</t>
  </si>
  <si>
    <t> Cash</t>
  </si>
  <si>
    <t>65 - 69</t>
  </si>
  <si>
    <r>
      <t>Sold</t>
    </r>
    <r>
      <rPr>
        <b/>
        <sz val="12"/>
        <color rgb="FFFFFFFF"/>
        <rFont val="Arial"/>
        <family val="2"/>
      </rPr>
      <t>202</t>
    </r>
    <r>
      <rPr>
        <sz val="12"/>
        <color rgb="FF67999F"/>
        <rFont val="Arial"/>
        <family val="2"/>
      </rPr>
      <t>at 99¢</t>
    </r>
  </si>
  <si>
    <t>05/29/2020 11:24 a.m. (ET)</t>
  </si>
  <si>
    <r>
      <t>Sold</t>
    </r>
    <r>
      <rPr>
        <b/>
        <sz val="12"/>
        <color rgb="FFFFFFFF"/>
        <rFont val="Arial"/>
        <family val="2"/>
      </rPr>
      <t>1002</t>
    </r>
    <r>
      <rPr>
        <sz val="12"/>
        <color rgb="FF67999F"/>
        <rFont val="Arial"/>
        <family val="2"/>
      </rPr>
      <t>at 99¢</t>
    </r>
  </si>
  <si>
    <t>59 or fewer</t>
  </si>
  <si>
    <r>
      <t>Sold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99¢</t>
    </r>
  </si>
  <si>
    <r>
      <t>Sold</t>
    </r>
    <r>
      <rPr>
        <b/>
        <sz val="12"/>
        <color rgb="FFFFFFFF"/>
        <rFont val="Arial"/>
        <family val="2"/>
      </rPr>
      <t>739</t>
    </r>
    <r>
      <rPr>
        <sz val="12"/>
        <color rgb="FF67999F"/>
        <rFont val="Arial"/>
        <family val="2"/>
      </rPr>
      <t>at 99¢</t>
    </r>
  </si>
  <si>
    <t>80 - 84</t>
  </si>
  <si>
    <r>
      <t>Sold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70¢</t>
    </r>
  </si>
  <si>
    <t>05/29/2020 11:16 a.m. (ET)</t>
  </si>
  <si>
    <r>
      <t>Sold</t>
    </r>
    <r>
      <rPr>
        <b/>
        <sz val="12"/>
        <color rgb="FFFFFFFF"/>
        <rFont val="Arial"/>
        <family val="2"/>
      </rPr>
      <t>201</t>
    </r>
    <r>
      <rPr>
        <sz val="12"/>
        <color rgb="FF67999F"/>
        <rFont val="Arial"/>
        <family val="2"/>
      </rPr>
      <t>at 70¢</t>
    </r>
  </si>
  <si>
    <t>85 - 89</t>
  </si>
  <si>
    <r>
      <t>Sold</t>
    </r>
    <r>
      <rPr>
        <b/>
        <sz val="12"/>
        <color rgb="FFFFFFFF"/>
        <rFont val="Arial"/>
        <family val="2"/>
      </rPr>
      <t>25</t>
    </r>
    <r>
      <rPr>
        <sz val="12"/>
        <color rgb="FF67999F"/>
        <rFont val="Arial"/>
        <family val="2"/>
      </rPr>
      <t>at 70¢</t>
    </r>
  </si>
  <si>
    <r>
      <t>Sold</t>
    </r>
    <r>
      <rPr>
        <b/>
        <sz val="12"/>
        <color rgb="FFFFFFFF"/>
        <rFont val="Arial"/>
        <family val="2"/>
      </rPr>
      <t>200</t>
    </r>
    <r>
      <rPr>
        <sz val="12"/>
        <color rgb="FF67999F"/>
        <rFont val="Arial"/>
        <family val="2"/>
      </rPr>
      <t>at 70¢</t>
    </r>
  </si>
  <si>
    <t>-</t>
  </si>
  <si>
    <r>
      <t>Bought</t>
    </r>
    <r>
      <rPr>
        <b/>
        <sz val="12"/>
        <color rgb="FFFFFFFF"/>
        <rFont val="Arial"/>
        <family val="2"/>
      </rPr>
      <t>202</t>
    </r>
    <r>
      <rPr>
        <sz val="12"/>
        <color rgb="FF67999F"/>
        <rFont val="Arial"/>
        <family val="2"/>
      </rPr>
      <t>at 85¢</t>
    </r>
  </si>
  <si>
    <t>05/29/2020 10:56 a.m. (ET)</t>
  </si>
  <si>
    <r>
      <t>Bought</t>
    </r>
    <r>
      <rPr>
        <b/>
        <sz val="12"/>
        <color rgb="FFFFFFFF"/>
        <rFont val="Arial"/>
        <family val="2"/>
      </rPr>
      <t>225</t>
    </r>
    <r>
      <rPr>
        <sz val="12"/>
        <color rgb="FF67999F"/>
        <rFont val="Arial"/>
        <family val="2"/>
      </rPr>
      <t>at 78¢</t>
    </r>
  </si>
  <si>
    <t>05/29/2020 10:51 a.m. (ET)</t>
  </si>
  <si>
    <r>
      <t>Sold</t>
    </r>
    <r>
      <rPr>
        <b/>
        <sz val="12"/>
        <color rgb="FFFFFFFF"/>
        <rFont val="Arial"/>
        <family val="2"/>
      </rPr>
      <t>2</t>
    </r>
    <r>
      <rPr>
        <sz val="12"/>
        <color rgb="FF67999F"/>
        <rFont val="Arial"/>
        <family val="2"/>
      </rPr>
      <t>at 38¢</t>
    </r>
  </si>
  <si>
    <t>05/29/2020 09:15 a.m. (ET)</t>
  </si>
  <si>
    <r>
      <t>Sold</t>
    </r>
    <r>
      <rPr>
        <b/>
        <sz val="12"/>
        <color rgb="FFFFFFFF"/>
        <rFont val="Arial"/>
        <family val="2"/>
      </rPr>
      <t>24</t>
    </r>
    <r>
      <rPr>
        <sz val="12"/>
        <color rgb="FF67999F"/>
        <rFont val="Arial"/>
        <family val="2"/>
      </rPr>
      <t>at 36¢</t>
    </r>
  </si>
  <si>
    <r>
      <t>Sold</t>
    </r>
    <r>
      <rPr>
        <b/>
        <sz val="12"/>
        <color rgb="FFFFFFFF"/>
        <rFont val="Arial"/>
        <family val="2"/>
      </rPr>
      <t>74</t>
    </r>
    <r>
      <rPr>
        <sz val="12"/>
        <color rgb="FF67999F"/>
        <rFont val="Arial"/>
        <family val="2"/>
      </rPr>
      <t>at 37¢</t>
    </r>
  </si>
  <si>
    <r>
      <t>Sold</t>
    </r>
    <r>
      <rPr>
        <b/>
        <sz val="12"/>
        <color rgb="FFFFFFFF"/>
        <rFont val="Arial"/>
        <family val="2"/>
      </rPr>
      <t>25</t>
    </r>
    <r>
      <rPr>
        <sz val="12"/>
        <color rgb="FF67999F"/>
        <rFont val="Arial"/>
        <family val="2"/>
      </rPr>
      <t>at 39¢</t>
    </r>
  </si>
  <si>
    <r>
      <t>Sold</t>
    </r>
    <r>
      <rPr>
        <b/>
        <sz val="12"/>
        <color rgb="FFFFFFFF"/>
        <rFont val="Arial"/>
        <family val="2"/>
      </rPr>
      <t>50</t>
    </r>
    <r>
      <rPr>
        <sz val="12"/>
        <color rgb="FF67999F"/>
        <rFont val="Arial"/>
        <family val="2"/>
      </rPr>
      <t>at 40¢</t>
    </r>
  </si>
  <si>
    <r>
      <t>Bought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39¢</t>
    </r>
  </si>
  <si>
    <t>05/29/2020 09:09 a.m. (ET)</t>
  </si>
  <si>
    <t>75 - 79</t>
  </si>
  <si>
    <r>
      <t>Sold</t>
    </r>
    <r>
      <rPr>
        <b/>
        <sz val="12"/>
        <color rgb="FFFFFFFF"/>
        <rFont val="Arial"/>
        <family val="2"/>
      </rPr>
      <t>281</t>
    </r>
    <r>
      <rPr>
        <sz val="12"/>
        <color rgb="FF67999F"/>
        <rFont val="Arial"/>
        <family val="2"/>
      </rPr>
      <t>at 99¢</t>
    </r>
  </si>
  <si>
    <t>05/29/2020 08:35 a.m. (ET)</t>
  </si>
  <si>
    <r>
      <t>Sold</t>
    </r>
    <r>
      <rPr>
        <b/>
        <sz val="12"/>
        <color rgb="FFFFFFFF"/>
        <rFont val="Arial"/>
        <family val="2"/>
      </rPr>
      <t>722</t>
    </r>
    <r>
      <rPr>
        <sz val="12"/>
        <color rgb="FF67999F"/>
        <rFont val="Arial"/>
        <family val="2"/>
      </rPr>
      <t>at 99¢</t>
    </r>
  </si>
  <si>
    <r>
      <t>Bought</t>
    </r>
    <r>
      <rPr>
        <b/>
        <sz val="12"/>
        <color rgb="FFFFFFFF"/>
        <rFont val="Arial"/>
        <family val="2"/>
      </rPr>
      <t>281</t>
    </r>
    <r>
      <rPr>
        <sz val="12"/>
        <color rgb="FF67999F"/>
        <rFont val="Arial"/>
        <family val="2"/>
      </rPr>
      <t>at 79¢</t>
    </r>
  </si>
  <si>
    <t>05/29/2020 07:59 a.m. (ET)</t>
  </si>
  <si>
    <r>
      <t>Bought</t>
    </r>
    <r>
      <rPr>
        <b/>
        <sz val="12"/>
        <color rgb="FFFFFFFF"/>
        <rFont val="Arial"/>
        <family val="2"/>
      </rPr>
      <t>22</t>
    </r>
    <r>
      <rPr>
        <sz val="12"/>
        <color rgb="FF67999F"/>
        <rFont val="Arial"/>
        <family val="2"/>
      </rPr>
      <t>at 80¢</t>
    </r>
  </si>
  <si>
    <r>
      <t>Bought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80¢</t>
    </r>
  </si>
  <si>
    <t>05/29/2020 07:57 a.m. (ET)</t>
  </si>
  <si>
    <r>
      <t>Bought</t>
    </r>
    <r>
      <rPr>
        <b/>
        <sz val="12"/>
        <color rgb="FFFFFFFF"/>
        <rFont val="Arial"/>
        <family val="2"/>
      </rPr>
      <t>26</t>
    </r>
    <r>
      <rPr>
        <sz val="12"/>
        <color rgb="FF67999F"/>
        <rFont val="Arial"/>
        <family val="2"/>
      </rPr>
      <t>at 85¢</t>
    </r>
  </si>
  <si>
    <t>05/29/2020 07:47 a.m. (ET)</t>
  </si>
  <si>
    <r>
      <t>Bought</t>
    </r>
    <r>
      <rPr>
        <b/>
        <sz val="12"/>
        <color rgb="FFFFFFFF"/>
        <rFont val="Arial"/>
        <family val="2"/>
      </rPr>
      <t>74</t>
    </r>
    <r>
      <rPr>
        <sz val="12"/>
        <color rgb="FF67999F"/>
        <rFont val="Arial"/>
        <family val="2"/>
      </rPr>
      <t>at 85¢</t>
    </r>
  </si>
  <si>
    <t>05/29/2020 07:43 a.m. (ET)</t>
  </si>
  <si>
    <r>
      <t>Bought</t>
    </r>
    <r>
      <rPr>
        <b/>
        <sz val="12"/>
        <color rgb="FFFFFFFF"/>
        <rFont val="Arial"/>
        <family val="2"/>
      </rPr>
      <t>150</t>
    </r>
    <r>
      <rPr>
        <sz val="12"/>
        <color rgb="FF67999F"/>
        <rFont val="Arial"/>
        <family val="2"/>
      </rPr>
      <t>at 90¢</t>
    </r>
  </si>
  <si>
    <t>05/29/2020 07:28 a.m. (ET)</t>
  </si>
  <si>
    <r>
      <t>Sold</t>
    </r>
    <r>
      <rPr>
        <b/>
        <sz val="12"/>
        <color rgb="FFFFFFFF"/>
        <rFont val="Arial"/>
        <family val="2"/>
      </rPr>
      <t>24</t>
    </r>
    <r>
      <rPr>
        <sz val="12"/>
        <color rgb="FF67999F"/>
        <rFont val="Arial"/>
        <family val="2"/>
      </rPr>
      <t>at 75¢</t>
    </r>
  </si>
  <si>
    <t>05/29/2020 06:07 a.m. (ET)</t>
  </si>
  <si>
    <r>
      <t>Sold</t>
    </r>
    <r>
      <rPr>
        <b/>
        <sz val="12"/>
        <color rgb="FFFFFFFF"/>
        <rFont val="Arial"/>
        <family val="2"/>
      </rPr>
      <t>2</t>
    </r>
    <r>
      <rPr>
        <sz val="12"/>
        <color rgb="FF67999F"/>
        <rFont val="Arial"/>
        <family val="2"/>
      </rPr>
      <t>at 75¢</t>
    </r>
  </si>
  <si>
    <r>
      <t>Sold</t>
    </r>
    <r>
      <rPr>
        <b/>
        <sz val="12"/>
        <color rgb="FFFFFFFF"/>
        <rFont val="Arial"/>
        <family val="2"/>
      </rPr>
      <t>150</t>
    </r>
    <r>
      <rPr>
        <sz val="12"/>
        <color rgb="FF67999F"/>
        <rFont val="Arial"/>
        <family val="2"/>
      </rPr>
      <t>at 90¢</t>
    </r>
  </si>
  <si>
    <r>
      <t>Bought</t>
    </r>
    <r>
      <rPr>
        <b/>
        <sz val="12"/>
        <color rgb="FFFFFFFF"/>
        <rFont val="Arial"/>
        <family val="2"/>
      </rPr>
      <t>200</t>
    </r>
    <r>
      <rPr>
        <sz val="12"/>
        <color rgb="FF67999F"/>
        <rFont val="Arial"/>
        <family val="2"/>
      </rPr>
      <t>at 83¢</t>
    </r>
  </si>
  <si>
    <t>05/29/2020 06:05 a.m. (ET)</t>
  </si>
  <si>
    <r>
      <t>Sold</t>
    </r>
    <r>
      <rPr>
        <b/>
        <sz val="12"/>
        <color rgb="FFFFFFFF"/>
        <rFont val="Arial"/>
        <family val="2"/>
      </rPr>
      <t>74</t>
    </r>
    <r>
      <rPr>
        <sz val="12"/>
        <color rgb="FF67999F"/>
        <rFont val="Arial"/>
        <family val="2"/>
      </rPr>
      <t>at 78¢</t>
    </r>
  </si>
  <si>
    <t>05/29/2020 05:52 a.m. (ET)</t>
  </si>
  <si>
    <r>
      <t>Bought</t>
    </r>
    <r>
      <rPr>
        <b/>
        <sz val="12"/>
        <color rgb="FFFFFFFF"/>
        <rFont val="Arial"/>
        <family val="2"/>
      </rPr>
      <t>7</t>
    </r>
    <r>
      <rPr>
        <sz val="12"/>
        <color rgb="FF67999F"/>
        <rFont val="Arial"/>
        <family val="2"/>
      </rPr>
      <t>at 77¢</t>
    </r>
  </si>
  <si>
    <r>
      <t>Bought</t>
    </r>
    <r>
      <rPr>
        <b/>
        <sz val="12"/>
        <color rgb="FFFFFFFF"/>
        <rFont val="Arial"/>
        <family val="2"/>
      </rPr>
      <t>93</t>
    </r>
    <r>
      <rPr>
        <sz val="12"/>
        <color rgb="FF67999F"/>
        <rFont val="Arial"/>
        <family val="2"/>
      </rPr>
      <t>at 75¢</t>
    </r>
  </si>
  <si>
    <t>05/29/2020 05:51 a.m. (ET)</t>
  </si>
  <si>
    <r>
      <t>Sold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79¢</t>
    </r>
  </si>
  <si>
    <r>
      <t>Bought</t>
    </r>
    <r>
      <rPr>
        <b/>
        <sz val="12"/>
        <color rgb="FFFFFFFF"/>
        <rFont val="Arial"/>
        <family val="2"/>
      </rPr>
      <t>10</t>
    </r>
    <r>
      <rPr>
        <sz val="12"/>
        <color rgb="FF67999F"/>
        <rFont val="Arial"/>
        <family val="2"/>
      </rPr>
      <t>at 77¢</t>
    </r>
  </si>
  <si>
    <t>05/29/2020 05:45 a.m. (ET)</t>
  </si>
  <si>
    <r>
      <t>Bought</t>
    </r>
    <r>
      <rPr>
        <b/>
        <sz val="12"/>
        <color rgb="FFFFFFFF"/>
        <rFont val="Arial"/>
        <family val="2"/>
      </rPr>
      <t>76</t>
    </r>
    <r>
      <rPr>
        <sz val="12"/>
        <color rgb="FF67999F"/>
        <rFont val="Arial"/>
        <family val="2"/>
      </rPr>
      <t>at 76¢</t>
    </r>
  </si>
  <si>
    <r>
      <t>Bought</t>
    </r>
    <r>
      <rPr>
        <b/>
        <sz val="12"/>
        <color rgb="FFFFFFFF"/>
        <rFont val="Arial"/>
        <family val="2"/>
      </rPr>
      <t>14</t>
    </r>
    <r>
      <rPr>
        <sz val="12"/>
        <color rgb="FF67999F"/>
        <rFont val="Arial"/>
        <family val="2"/>
      </rPr>
      <t>at 75¢</t>
    </r>
  </si>
  <si>
    <r>
      <t>Bought</t>
    </r>
    <r>
      <rPr>
        <b/>
        <sz val="12"/>
        <color rgb="FFFFFFFF"/>
        <rFont val="Arial"/>
        <family val="2"/>
      </rPr>
      <t>179</t>
    </r>
    <r>
      <rPr>
        <sz val="12"/>
        <color rgb="FF67999F"/>
        <rFont val="Arial"/>
        <family val="2"/>
      </rPr>
      <t>at 85¢</t>
    </r>
  </si>
  <si>
    <t>05/28/2020 10:19 p.m. (ET)</t>
  </si>
  <si>
    <r>
      <t>Bought</t>
    </r>
    <r>
      <rPr>
        <b/>
        <sz val="12"/>
        <color rgb="FFFFFFFF"/>
        <rFont val="Arial"/>
        <family val="2"/>
      </rPr>
      <t>21</t>
    </r>
    <r>
      <rPr>
        <sz val="12"/>
        <color rgb="FF67999F"/>
        <rFont val="Arial"/>
        <family val="2"/>
      </rPr>
      <t>at 84¢</t>
    </r>
  </si>
  <si>
    <r>
      <t>Bought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71¢</t>
    </r>
  </si>
  <si>
    <r>
      <t>Sold</t>
    </r>
    <r>
      <rPr>
        <b/>
        <sz val="12"/>
        <color rgb="FFFFFFFF"/>
        <rFont val="Arial"/>
        <family val="2"/>
      </rPr>
      <t>7</t>
    </r>
    <r>
      <rPr>
        <sz val="12"/>
        <color rgb="FF67999F"/>
        <rFont val="Arial"/>
        <family val="2"/>
      </rPr>
      <t>at 78¢</t>
    </r>
  </si>
  <si>
    <t>05/28/2020 09:58 p.m. (ET)</t>
  </si>
  <si>
    <r>
      <t>Sold</t>
    </r>
    <r>
      <rPr>
        <b/>
        <sz val="12"/>
        <color rgb="FFFFFFFF"/>
        <rFont val="Arial"/>
        <family val="2"/>
      </rPr>
      <t>499</t>
    </r>
    <r>
      <rPr>
        <sz val="12"/>
        <color rgb="FF67999F"/>
        <rFont val="Arial"/>
        <family val="2"/>
      </rPr>
      <t>at 78¢</t>
    </r>
  </si>
  <si>
    <r>
      <t>Sold</t>
    </r>
    <r>
      <rPr>
        <b/>
        <sz val="12"/>
        <color rgb="FFFFFFFF"/>
        <rFont val="Arial"/>
        <family val="2"/>
      </rPr>
      <t>257</t>
    </r>
    <r>
      <rPr>
        <sz val="12"/>
        <color rgb="FF67999F"/>
        <rFont val="Arial"/>
        <family val="2"/>
      </rPr>
      <t>at 78¢</t>
    </r>
  </si>
  <si>
    <r>
      <t>Sold</t>
    </r>
    <r>
      <rPr>
        <b/>
        <sz val="12"/>
        <color rgb="FFFFFFFF"/>
        <rFont val="Arial"/>
        <family val="2"/>
      </rPr>
      <t>390</t>
    </r>
    <r>
      <rPr>
        <sz val="12"/>
        <color rgb="FF67999F"/>
        <rFont val="Arial"/>
        <family val="2"/>
      </rPr>
      <t>at 74¢</t>
    </r>
  </si>
  <si>
    <r>
      <t>Bought</t>
    </r>
    <r>
      <rPr>
        <b/>
        <sz val="12"/>
        <color rgb="FFFFFFFF"/>
        <rFont val="Arial"/>
        <family val="2"/>
      </rPr>
      <t>7</t>
    </r>
    <r>
      <rPr>
        <sz val="12"/>
        <color rgb="FF67999F"/>
        <rFont val="Arial"/>
        <family val="2"/>
      </rPr>
      <t>at 84¢</t>
    </r>
  </si>
  <si>
    <t>05/28/2020 09:00 p.m. (ET)</t>
  </si>
  <si>
    <r>
      <t>Bought</t>
    </r>
    <r>
      <rPr>
        <b/>
        <sz val="12"/>
        <color rgb="FFFFFFFF"/>
        <rFont val="Arial"/>
        <family val="2"/>
      </rPr>
      <t>374</t>
    </r>
    <r>
      <rPr>
        <sz val="12"/>
        <color rgb="FF67999F"/>
        <rFont val="Arial"/>
        <family val="2"/>
      </rPr>
      <t>at 83¢</t>
    </r>
  </si>
  <si>
    <r>
      <t>Bought</t>
    </r>
    <r>
      <rPr>
        <b/>
        <sz val="12"/>
        <color rgb="FFFFFFFF"/>
        <rFont val="Arial"/>
        <family val="2"/>
      </rPr>
      <t>125</t>
    </r>
    <r>
      <rPr>
        <sz val="12"/>
        <color rgb="FF67999F"/>
        <rFont val="Arial"/>
        <family val="2"/>
      </rPr>
      <t>at 82¢</t>
    </r>
  </si>
  <si>
    <r>
      <t>Bought</t>
    </r>
    <r>
      <rPr>
        <b/>
        <sz val="12"/>
        <color rgb="FFFFFFFF"/>
        <rFont val="Arial"/>
        <family val="2"/>
      </rPr>
      <t>89</t>
    </r>
    <r>
      <rPr>
        <sz val="12"/>
        <color rgb="FF67999F"/>
        <rFont val="Arial"/>
        <family val="2"/>
      </rPr>
      <t>at 73¢</t>
    </r>
  </si>
  <si>
    <t>05/28/2020 08:56 p.m. (ET)</t>
  </si>
  <si>
    <r>
      <t>Bought</t>
    </r>
    <r>
      <rPr>
        <b/>
        <sz val="12"/>
        <color rgb="FFFFFFFF"/>
        <rFont val="Arial"/>
        <family val="2"/>
      </rPr>
      <t>198</t>
    </r>
    <r>
      <rPr>
        <sz val="12"/>
        <color rgb="FF67999F"/>
        <rFont val="Arial"/>
        <family val="2"/>
      </rPr>
      <t>at 63¢</t>
    </r>
  </si>
  <si>
    <t>05/28/2020 08:49 p.m. (ET)</t>
  </si>
  <si>
    <r>
      <t>Sold</t>
    </r>
    <r>
      <rPr>
        <b/>
        <sz val="12"/>
        <color rgb="FFFFFFFF"/>
        <rFont val="Arial"/>
        <family val="2"/>
      </rPr>
      <t>340</t>
    </r>
    <r>
      <rPr>
        <sz val="12"/>
        <color rgb="FF67999F"/>
        <rFont val="Arial"/>
        <family val="2"/>
      </rPr>
      <t>at 54¢</t>
    </r>
  </si>
  <si>
    <t>05/28/2020 08:34 p.m. (ET)</t>
  </si>
  <si>
    <r>
      <t>Sold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77¢</t>
    </r>
  </si>
  <si>
    <t>05/28/2020 08:10 p.m. (ET)</t>
  </si>
  <si>
    <r>
      <t>Sold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78¢</t>
    </r>
  </si>
  <si>
    <t>05/28/2020 08:09 p.m. (ET)</t>
  </si>
  <si>
    <r>
      <t>Sold</t>
    </r>
    <r>
      <rPr>
        <b/>
        <sz val="12"/>
        <color rgb="FFFFFFFF"/>
        <rFont val="Arial"/>
        <family val="2"/>
      </rPr>
      <t>159</t>
    </r>
    <r>
      <rPr>
        <sz val="12"/>
        <color rgb="FF67999F"/>
        <rFont val="Arial"/>
        <family val="2"/>
      </rPr>
      <t>at 80¢</t>
    </r>
  </si>
  <si>
    <r>
      <t>Bought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64¢</t>
    </r>
  </si>
  <si>
    <r>
      <t>Sold</t>
    </r>
    <r>
      <rPr>
        <b/>
        <sz val="12"/>
        <color rgb="FFFFFFFF"/>
        <rFont val="Arial"/>
        <family val="2"/>
      </rPr>
      <t>40</t>
    </r>
    <r>
      <rPr>
        <sz val="12"/>
        <color rgb="FF67999F"/>
        <rFont val="Arial"/>
        <family val="2"/>
      </rPr>
      <t>at 86¢</t>
    </r>
  </si>
  <si>
    <t>05/28/2020 08:08 p.m. (ET)</t>
  </si>
  <si>
    <r>
      <t>Bought</t>
    </r>
    <r>
      <rPr>
        <b/>
        <sz val="12"/>
        <color rgb="FFFFFFFF"/>
        <rFont val="Arial"/>
        <family val="2"/>
      </rPr>
      <t>600</t>
    </r>
    <r>
      <rPr>
        <sz val="12"/>
        <color rgb="FF67999F"/>
        <rFont val="Arial"/>
        <family val="2"/>
      </rPr>
      <t>at 68¢</t>
    </r>
  </si>
  <si>
    <t>05/28/2020 08:07 p.m. (ET)</t>
  </si>
  <si>
    <r>
      <t>Sold</t>
    </r>
    <r>
      <rPr>
        <b/>
        <sz val="12"/>
        <color rgb="FFFFFFFF"/>
        <rFont val="Arial"/>
        <family val="2"/>
      </rPr>
      <t>4</t>
    </r>
    <r>
      <rPr>
        <sz val="12"/>
        <color rgb="FF67999F"/>
        <rFont val="Arial"/>
        <family val="2"/>
      </rPr>
      <t>at 31¢</t>
    </r>
  </si>
  <si>
    <r>
      <t>Sold</t>
    </r>
    <r>
      <rPr>
        <b/>
        <sz val="12"/>
        <color rgb="FFFFFFFF"/>
        <rFont val="Arial"/>
        <family val="2"/>
      </rPr>
      <t>96</t>
    </r>
    <r>
      <rPr>
        <sz val="12"/>
        <color rgb="FF67999F"/>
        <rFont val="Arial"/>
        <family val="2"/>
      </rPr>
      <t>at 31¢</t>
    </r>
  </si>
  <si>
    <r>
      <t>Sold</t>
    </r>
    <r>
      <rPr>
        <b/>
        <sz val="12"/>
        <color rgb="FFFFFFFF"/>
        <rFont val="Arial"/>
        <family val="2"/>
      </rPr>
      <t>41</t>
    </r>
    <r>
      <rPr>
        <sz val="12"/>
        <color rgb="FF67999F"/>
        <rFont val="Arial"/>
        <family val="2"/>
      </rPr>
      <t>at 32¢</t>
    </r>
  </si>
  <si>
    <r>
      <t>Sold</t>
    </r>
    <r>
      <rPr>
        <b/>
        <sz val="12"/>
        <color rgb="FFFFFFFF"/>
        <rFont val="Arial"/>
        <family val="2"/>
      </rPr>
      <t>6</t>
    </r>
    <r>
      <rPr>
        <sz val="12"/>
        <color rgb="FF67999F"/>
        <rFont val="Arial"/>
        <family val="2"/>
      </rPr>
      <t>at 33¢</t>
    </r>
  </si>
  <si>
    <r>
      <t>Sold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34¢</t>
    </r>
  </si>
  <si>
    <r>
      <t>Sold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35¢</t>
    </r>
  </si>
  <si>
    <r>
      <t>Sold</t>
    </r>
    <r>
      <rPr>
        <b/>
        <sz val="12"/>
        <color rgb="FFFFFFFF"/>
        <rFont val="Arial"/>
        <family val="2"/>
      </rPr>
      <t>26</t>
    </r>
    <r>
      <rPr>
        <sz val="12"/>
        <color rgb="FF67999F"/>
        <rFont val="Arial"/>
        <family val="2"/>
      </rPr>
      <t>at 41¢</t>
    </r>
  </si>
  <si>
    <t>05/28/2020 08:06 p.m. (ET)</t>
  </si>
  <si>
    <r>
      <t>Sold</t>
    </r>
    <r>
      <rPr>
        <b/>
        <sz val="12"/>
        <color rgb="FFFFFFFF"/>
        <rFont val="Arial"/>
        <family val="2"/>
      </rPr>
      <t>25</t>
    </r>
    <r>
      <rPr>
        <sz val="12"/>
        <color rgb="FF67999F"/>
        <rFont val="Arial"/>
        <family val="2"/>
      </rPr>
      <t>at 42¢</t>
    </r>
  </si>
  <si>
    <r>
      <t>Sold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45¢</t>
    </r>
  </si>
  <si>
    <r>
      <t>Bought</t>
    </r>
    <r>
      <rPr>
        <b/>
        <sz val="12"/>
        <color rgb="FFFFFFFF"/>
        <rFont val="Arial"/>
        <family val="2"/>
      </rPr>
      <t>300</t>
    </r>
    <r>
      <rPr>
        <sz val="12"/>
        <color rgb="FF67999F"/>
        <rFont val="Arial"/>
        <family val="2"/>
      </rPr>
      <t>at 88¢</t>
    </r>
  </si>
  <si>
    <t>05/28/2020 07:32 p.m. (ET)</t>
  </si>
  <si>
    <r>
      <t>Bought</t>
    </r>
    <r>
      <rPr>
        <b/>
        <sz val="12"/>
        <color rgb="FFFFFFFF"/>
        <rFont val="Arial"/>
        <family val="2"/>
      </rPr>
      <t>4</t>
    </r>
    <r>
      <rPr>
        <sz val="12"/>
        <color rgb="FF67999F"/>
        <rFont val="Arial"/>
        <family val="2"/>
      </rPr>
      <t>at 46¢</t>
    </r>
  </si>
  <si>
    <t>05/28/2020 07:26 p.m. (ET)</t>
  </si>
  <si>
    <r>
      <t>Bought</t>
    </r>
    <r>
      <rPr>
        <b/>
        <sz val="12"/>
        <color rgb="FFFFFFFF"/>
        <rFont val="Arial"/>
        <family val="2"/>
      </rPr>
      <t>296</t>
    </r>
    <r>
      <rPr>
        <sz val="12"/>
        <color rgb="FF67999F"/>
        <rFont val="Arial"/>
        <family val="2"/>
      </rPr>
      <t>at 45¢</t>
    </r>
  </si>
  <si>
    <r>
      <t>Sold</t>
    </r>
    <r>
      <rPr>
        <b/>
        <sz val="12"/>
        <color rgb="FFFFFFFF"/>
        <rFont val="Arial"/>
        <family val="2"/>
      </rPr>
      <t>1000</t>
    </r>
    <r>
      <rPr>
        <sz val="12"/>
        <color rgb="FF67999F"/>
        <rFont val="Arial"/>
        <family val="2"/>
      </rPr>
      <t>at 57¢</t>
    </r>
  </si>
  <si>
    <t>05/28/2020 07:23 p.m. (ET)</t>
  </si>
  <si>
    <t>70 - 74</t>
  </si>
  <si>
    <r>
      <t>Sold</t>
    </r>
    <r>
      <rPr>
        <b/>
        <sz val="12"/>
        <color rgb="FFFFFFFF"/>
        <rFont val="Arial"/>
        <family val="2"/>
      </rPr>
      <t>270</t>
    </r>
    <r>
      <rPr>
        <sz val="12"/>
        <color rgb="FF67999F"/>
        <rFont val="Arial"/>
        <family val="2"/>
      </rPr>
      <t>at 99¢</t>
    </r>
  </si>
  <si>
    <t>05/28/2020 07:04 p.m. (ET)</t>
  </si>
  <si>
    <r>
      <t>Sold</t>
    </r>
    <r>
      <rPr>
        <b/>
        <sz val="12"/>
        <color rgb="FFFFFFFF"/>
        <rFont val="Arial"/>
        <family val="2"/>
      </rPr>
      <t>94</t>
    </r>
    <r>
      <rPr>
        <sz val="12"/>
        <color rgb="FF67999F"/>
        <rFont val="Arial"/>
        <family val="2"/>
      </rPr>
      <t>at 99¢</t>
    </r>
  </si>
  <si>
    <r>
      <t>Bought</t>
    </r>
    <r>
      <rPr>
        <b/>
        <sz val="12"/>
        <color rgb="FFFFFFFF"/>
        <rFont val="Arial"/>
        <family val="2"/>
      </rPr>
      <t>1000</t>
    </r>
    <r>
      <rPr>
        <sz val="12"/>
        <color rgb="FF67999F"/>
        <rFont val="Arial"/>
        <family val="2"/>
      </rPr>
      <t>at 75¢</t>
    </r>
  </si>
  <si>
    <t>05/28/2020 06:20 p.m. (ET)</t>
  </si>
  <si>
    <r>
      <t>Bought</t>
    </r>
    <r>
      <rPr>
        <b/>
        <sz val="12"/>
        <color rgb="FFFFFFFF"/>
        <rFont val="Arial"/>
        <family val="2"/>
      </rPr>
      <t>272</t>
    </r>
    <r>
      <rPr>
        <sz val="12"/>
        <color rgb="FF67999F"/>
        <rFont val="Arial"/>
        <family val="2"/>
      </rPr>
      <t>at 60¢</t>
    </r>
  </si>
  <si>
    <t>05/28/2020 06:18 p.m. (ET)</t>
  </si>
  <si>
    <r>
      <t>Bought</t>
    </r>
    <r>
      <rPr>
        <b/>
        <sz val="12"/>
        <color rgb="FFFFFFFF"/>
        <rFont val="Arial"/>
        <family val="2"/>
      </rPr>
      <t>51</t>
    </r>
    <r>
      <rPr>
        <sz val="12"/>
        <color rgb="FF67999F"/>
        <rFont val="Arial"/>
        <family val="2"/>
      </rPr>
      <t>at 59¢</t>
    </r>
  </si>
  <si>
    <r>
      <t>Bought</t>
    </r>
    <r>
      <rPr>
        <b/>
        <sz val="12"/>
        <color rgb="FFFFFFFF"/>
        <rFont val="Arial"/>
        <family val="2"/>
      </rPr>
      <t>41</t>
    </r>
    <r>
      <rPr>
        <sz val="12"/>
        <color rgb="FF67999F"/>
        <rFont val="Arial"/>
        <family val="2"/>
      </rPr>
      <t>at 58¢</t>
    </r>
  </si>
  <si>
    <r>
      <t>Bought</t>
    </r>
    <r>
      <rPr>
        <b/>
        <sz val="12"/>
        <color rgb="FFFFFFFF"/>
        <rFont val="Arial"/>
        <family val="2"/>
      </rPr>
      <t>538</t>
    </r>
    <r>
      <rPr>
        <sz val="12"/>
        <color rgb="FF67999F"/>
        <rFont val="Arial"/>
        <family val="2"/>
      </rPr>
      <t>at 79¢</t>
    </r>
  </si>
  <si>
    <t>05/28/2020 06:16 p.m. (ET)</t>
  </si>
  <si>
    <r>
      <t>Bought</t>
    </r>
    <r>
      <rPr>
        <b/>
        <sz val="12"/>
        <color rgb="FFFFFFFF"/>
        <rFont val="Arial"/>
        <family val="2"/>
      </rPr>
      <t>166</t>
    </r>
    <r>
      <rPr>
        <sz val="12"/>
        <color rgb="FF67999F"/>
        <rFont val="Arial"/>
        <family val="2"/>
      </rPr>
      <t>at 53¢</t>
    </r>
  </si>
  <si>
    <t>05/28/2020 05:33 p.m. (ET)</t>
  </si>
  <si>
    <r>
      <t>Bought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63¢</t>
    </r>
  </si>
  <si>
    <t>05/28/2020 05:24 p.m. (ET)</t>
  </si>
  <si>
    <r>
      <t>Bought</t>
    </r>
    <r>
      <rPr>
        <b/>
        <sz val="12"/>
        <color rgb="FFFFFFFF"/>
        <rFont val="Arial"/>
        <family val="2"/>
      </rPr>
      <t>30</t>
    </r>
    <r>
      <rPr>
        <sz val="12"/>
        <color rgb="FF67999F"/>
        <rFont val="Arial"/>
        <family val="2"/>
      </rPr>
      <t>at 66¢</t>
    </r>
  </si>
  <si>
    <t>05/28/2020 05:19 p.m. (ET)</t>
  </si>
  <si>
    <r>
      <t>Bought</t>
    </r>
    <r>
      <rPr>
        <b/>
        <sz val="12"/>
        <color rgb="FFFFFFFF"/>
        <rFont val="Arial"/>
        <family val="2"/>
      </rPr>
      <t>70</t>
    </r>
    <r>
      <rPr>
        <sz val="12"/>
        <color rgb="FF67999F"/>
        <rFont val="Arial"/>
        <family val="2"/>
      </rPr>
      <t>at 65¢</t>
    </r>
  </si>
  <si>
    <r>
      <t>Bought</t>
    </r>
    <r>
      <rPr>
        <b/>
        <sz val="12"/>
        <color rgb="FFFFFFFF"/>
        <rFont val="Arial"/>
        <family val="2"/>
      </rPr>
      <t>110</t>
    </r>
    <r>
      <rPr>
        <sz val="12"/>
        <color rgb="FF67999F"/>
        <rFont val="Arial"/>
        <family val="2"/>
      </rPr>
      <t>at 70¢</t>
    </r>
  </si>
  <si>
    <t>05/28/2020 05:14 p.m. (ET)</t>
  </si>
  <si>
    <r>
      <t>Bought</t>
    </r>
    <r>
      <rPr>
        <b/>
        <sz val="12"/>
        <color rgb="FFFFFFFF"/>
        <rFont val="Arial"/>
        <family val="2"/>
      </rPr>
      <t>190</t>
    </r>
    <r>
      <rPr>
        <sz val="12"/>
        <color rgb="FF67999F"/>
        <rFont val="Arial"/>
        <family val="2"/>
      </rPr>
      <t>at 69¢</t>
    </r>
  </si>
  <si>
    <r>
      <t>Sold</t>
    </r>
    <r>
      <rPr>
        <b/>
        <sz val="12"/>
        <color rgb="FFFFFFFF"/>
        <rFont val="Arial"/>
        <family val="2"/>
      </rPr>
      <t>7</t>
    </r>
    <r>
      <rPr>
        <sz val="12"/>
        <color rgb="FF67999F"/>
        <rFont val="Arial"/>
        <family val="2"/>
      </rPr>
      <t>at 41¢</t>
    </r>
  </si>
  <si>
    <t>05/28/2020 05:13 p.m. (ET)</t>
  </si>
  <si>
    <r>
      <t>Sold</t>
    </r>
    <r>
      <rPr>
        <b/>
        <sz val="12"/>
        <color rgb="FFFFFFFF"/>
        <rFont val="Arial"/>
        <family val="2"/>
      </rPr>
      <t>43</t>
    </r>
    <r>
      <rPr>
        <sz val="12"/>
        <color rgb="FF67999F"/>
        <rFont val="Arial"/>
        <family val="2"/>
      </rPr>
      <t>at 41¢</t>
    </r>
  </si>
  <si>
    <r>
      <t>Sold</t>
    </r>
    <r>
      <rPr>
        <b/>
        <sz val="12"/>
        <color rgb="FFFFFFFF"/>
        <rFont val="Arial"/>
        <family val="2"/>
      </rPr>
      <t>50</t>
    </r>
    <r>
      <rPr>
        <sz val="12"/>
        <color rgb="FF67999F"/>
        <rFont val="Arial"/>
        <family val="2"/>
      </rPr>
      <t>at 42¢</t>
    </r>
  </si>
  <si>
    <r>
      <t>Sold</t>
    </r>
    <r>
      <rPr>
        <b/>
        <sz val="12"/>
        <color rgb="FFFFFFFF"/>
        <rFont val="Arial"/>
        <family val="2"/>
      </rPr>
      <t>6</t>
    </r>
    <r>
      <rPr>
        <sz val="12"/>
        <color rgb="FF67999F"/>
        <rFont val="Arial"/>
        <family val="2"/>
      </rPr>
      <t>at 65¢</t>
    </r>
  </si>
  <si>
    <r>
      <t>Sold</t>
    </r>
    <r>
      <rPr>
        <b/>
        <sz val="12"/>
        <color rgb="FFFFFFFF"/>
        <rFont val="Arial"/>
        <family val="2"/>
      </rPr>
      <t>34</t>
    </r>
    <r>
      <rPr>
        <sz val="12"/>
        <color rgb="FF67999F"/>
        <rFont val="Arial"/>
        <family val="2"/>
      </rPr>
      <t>at 66¢</t>
    </r>
  </si>
  <si>
    <t>60 - 64</t>
  </si>
  <si>
    <r>
      <t>Sold</t>
    </r>
    <r>
      <rPr>
        <b/>
        <sz val="12"/>
        <color rgb="FFFFFFFF"/>
        <rFont val="Arial"/>
        <family val="2"/>
      </rPr>
      <t>99</t>
    </r>
    <r>
      <rPr>
        <sz val="12"/>
        <color rgb="FF67999F"/>
        <rFont val="Arial"/>
        <family val="2"/>
      </rPr>
      <t>at 99¢</t>
    </r>
  </si>
  <si>
    <r>
      <t>Sold</t>
    </r>
    <r>
      <rPr>
        <b/>
        <sz val="12"/>
        <color rgb="FFFFFFFF"/>
        <rFont val="Arial"/>
        <family val="2"/>
      </rPr>
      <t>960</t>
    </r>
    <r>
      <rPr>
        <sz val="12"/>
        <color rgb="FF67999F"/>
        <rFont val="Arial"/>
        <family val="2"/>
      </rPr>
      <t>at 99¢</t>
    </r>
  </si>
  <si>
    <r>
      <t>Sold</t>
    </r>
    <r>
      <rPr>
        <b/>
        <sz val="12"/>
        <color rgb="FFFFFFFF"/>
        <rFont val="Arial"/>
        <family val="2"/>
      </rPr>
      <t>25</t>
    </r>
    <r>
      <rPr>
        <sz val="12"/>
        <color rgb="FF67999F"/>
        <rFont val="Arial"/>
        <family val="2"/>
      </rPr>
      <t>at 66¢</t>
    </r>
  </si>
  <si>
    <t>05/28/2020 05:12 p.m. (ET)</t>
  </si>
  <si>
    <r>
      <t>Sold</t>
    </r>
    <r>
      <rPr>
        <b/>
        <sz val="12"/>
        <color rgb="FFFFFFFF"/>
        <rFont val="Arial"/>
        <family val="2"/>
      </rPr>
      <t>10</t>
    </r>
    <r>
      <rPr>
        <sz val="12"/>
        <color rgb="FF67999F"/>
        <rFont val="Arial"/>
        <family val="2"/>
      </rPr>
      <t>at 67¢</t>
    </r>
  </si>
  <si>
    <r>
      <t>Sold</t>
    </r>
    <r>
      <rPr>
        <b/>
        <sz val="12"/>
        <color rgb="FFFFFFFF"/>
        <rFont val="Arial"/>
        <family val="2"/>
      </rPr>
      <t>25</t>
    </r>
    <r>
      <rPr>
        <sz val="12"/>
        <color rgb="FF67999F"/>
        <rFont val="Arial"/>
        <family val="2"/>
      </rPr>
      <t>at 68¢</t>
    </r>
  </si>
  <si>
    <r>
      <t>Sold</t>
    </r>
    <r>
      <rPr>
        <b/>
        <sz val="12"/>
        <color rgb="FFFFFFFF"/>
        <rFont val="Arial"/>
        <family val="2"/>
      </rPr>
      <t>95</t>
    </r>
    <r>
      <rPr>
        <sz val="12"/>
        <color rgb="FF67999F"/>
        <rFont val="Arial"/>
        <family val="2"/>
      </rPr>
      <t>at 14¢</t>
    </r>
  </si>
  <si>
    <t>05/28/2020 05:10 p.m. (ET)</t>
  </si>
  <si>
    <r>
      <t>Sold</t>
    </r>
    <r>
      <rPr>
        <b/>
        <sz val="12"/>
        <color rgb="FFFFFFFF"/>
        <rFont val="Arial"/>
        <family val="2"/>
      </rPr>
      <t>40</t>
    </r>
    <r>
      <rPr>
        <sz val="12"/>
        <color rgb="FF67999F"/>
        <rFont val="Arial"/>
        <family val="2"/>
      </rPr>
      <t>at 14¢</t>
    </r>
  </si>
  <si>
    <r>
      <t>Bought</t>
    </r>
    <r>
      <rPr>
        <b/>
        <sz val="12"/>
        <color rgb="FFFFFFFF"/>
        <rFont val="Arial"/>
        <family val="2"/>
      </rPr>
      <t>15</t>
    </r>
    <r>
      <rPr>
        <sz val="12"/>
        <color rgb="FF67999F"/>
        <rFont val="Arial"/>
        <family val="2"/>
      </rPr>
      <t>at 51¢</t>
    </r>
  </si>
  <si>
    <t>05/28/2020 04:37 p.m. (ET)</t>
  </si>
  <si>
    <r>
      <t>Bought</t>
    </r>
    <r>
      <rPr>
        <b/>
        <sz val="12"/>
        <color rgb="FFFFFFFF"/>
        <rFont val="Arial"/>
        <family val="2"/>
      </rPr>
      <t>7</t>
    </r>
    <r>
      <rPr>
        <sz val="12"/>
        <color rgb="FF67999F"/>
        <rFont val="Arial"/>
        <family val="2"/>
      </rPr>
      <t>at 31¢</t>
    </r>
  </si>
  <si>
    <t>05/28/2020 04:36 p.m. (ET)</t>
  </si>
  <si>
    <r>
      <t>Bought</t>
    </r>
    <r>
      <rPr>
        <b/>
        <sz val="12"/>
        <color rgb="FFFFFFFF"/>
        <rFont val="Arial"/>
        <family val="2"/>
      </rPr>
      <t>50</t>
    </r>
    <r>
      <rPr>
        <sz val="12"/>
        <color rgb="FF67999F"/>
        <rFont val="Arial"/>
        <family val="2"/>
      </rPr>
      <t>at 29¢</t>
    </r>
  </si>
  <si>
    <t>05/28/2020 04:35 p.m. (ET)</t>
  </si>
  <si>
    <r>
      <t>Bought</t>
    </r>
    <r>
      <rPr>
        <b/>
        <sz val="12"/>
        <color rgb="FFFFFFFF"/>
        <rFont val="Arial"/>
        <family val="2"/>
      </rPr>
      <t>85</t>
    </r>
    <r>
      <rPr>
        <sz val="12"/>
        <color rgb="FF67999F"/>
        <rFont val="Arial"/>
        <family val="2"/>
      </rPr>
      <t>at 50¢</t>
    </r>
  </si>
  <si>
    <t>05/28/2020 04:34 p.m. (ET)</t>
  </si>
  <si>
    <r>
      <t>Bought</t>
    </r>
    <r>
      <rPr>
        <b/>
        <sz val="12"/>
        <color rgb="FFFFFFFF"/>
        <rFont val="Arial"/>
        <family val="2"/>
      </rPr>
      <t>11</t>
    </r>
    <r>
      <rPr>
        <sz val="12"/>
        <color rgb="FF67999F"/>
        <rFont val="Arial"/>
        <family val="2"/>
      </rPr>
      <t>at 30¢</t>
    </r>
  </si>
  <si>
    <t>05/28/2020 04:33 p.m. (ET)</t>
  </si>
  <si>
    <r>
      <t>Bought</t>
    </r>
    <r>
      <rPr>
        <b/>
        <sz val="12"/>
        <color rgb="FFFFFFFF"/>
        <rFont val="Arial"/>
        <family val="2"/>
      </rPr>
      <t>32</t>
    </r>
    <r>
      <rPr>
        <sz val="12"/>
        <color rgb="FF67999F"/>
        <rFont val="Arial"/>
        <family val="2"/>
      </rPr>
      <t>at 29¢</t>
    </r>
  </si>
  <si>
    <r>
      <t>Sold</t>
    </r>
    <r>
      <rPr>
        <b/>
        <sz val="12"/>
        <color rgb="FFFFFFFF"/>
        <rFont val="Arial"/>
        <family val="2"/>
      </rPr>
      <t>176</t>
    </r>
    <r>
      <rPr>
        <sz val="12"/>
        <color rgb="FF67999F"/>
        <rFont val="Arial"/>
        <family val="2"/>
      </rPr>
      <t>at 50¢</t>
    </r>
  </si>
  <si>
    <t>05/28/2020 04:09 p.m. (ET)</t>
  </si>
  <si>
    <r>
      <t>Sold</t>
    </r>
    <r>
      <rPr>
        <b/>
        <sz val="12"/>
        <color rgb="FFFFFFFF"/>
        <rFont val="Arial"/>
        <family val="2"/>
      </rPr>
      <t>24</t>
    </r>
    <r>
      <rPr>
        <sz val="12"/>
        <color rgb="FF67999F"/>
        <rFont val="Arial"/>
        <family val="2"/>
      </rPr>
      <t>at 51¢</t>
    </r>
  </si>
  <si>
    <r>
      <t>Bought</t>
    </r>
    <r>
      <rPr>
        <b/>
        <sz val="12"/>
        <color rgb="FFFFFFFF"/>
        <rFont val="Arial"/>
        <family val="2"/>
      </rPr>
      <t>200</t>
    </r>
    <r>
      <rPr>
        <sz val="12"/>
        <color rgb="FF67999F"/>
        <rFont val="Arial"/>
        <family val="2"/>
      </rPr>
      <t>at 49¢</t>
    </r>
  </si>
  <si>
    <t>05/28/2020 03:26 p.m. (ET)</t>
  </si>
  <si>
    <r>
      <t>Sold</t>
    </r>
    <r>
      <rPr>
        <b/>
        <sz val="12"/>
        <color rgb="FFFFFFFF"/>
        <rFont val="Arial"/>
        <family val="2"/>
      </rPr>
      <t>20</t>
    </r>
    <r>
      <rPr>
        <sz val="12"/>
        <color rgb="FF67999F"/>
        <rFont val="Arial"/>
        <family val="2"/>
      </rPr>
      <t>at 13¢</t>
    </r>
  </si>
  <si>
    <t>05/28/2020 01:24 p.m. (ET)</t>
  </si>
  <si>
    <r>
      <t>Sold</t>
    </r>
    <r>
      <rPr>
        <b/>
        <sz val="12"/>
        <color rgb="FFFFFFFF"/>
        <rFont val="Arial"/>
        <family val="2"/>
      </rPr>
      <t>5</t>
    </r>
    <r>
      <rPr>
        <sz val="12"/>
        <color rgb="FF67999F"/>
        <rFont val="Arial"/>
        <family val="2"/>
      </rPr>
      <t>at 13¢</t>
    </r>
  </si>
  <si>
    <r>
      <t>Sold</t>
    </r>
    <r>
      <rPr>
        <b/>
        <sz val="12"/>
        <color rgb="FFFFFFFF"/>
        <rFont val="Arial"/>
        <family val="2"/>
      </rPr>
      <t>25</t>
    </r>
    <r>
      <rPr>
        <sz val="12"/>
        <color rgb="FF67999F"/>
        <rFont val="Arial"/>
        <family val="2"/>
      </rPr>
      <t>at 13¢</t>
    </r>
  </si>
  <si>
    <t>05/28/2020 01:23 p.m. (ET)</t>
  </si>
  <si>
    <r>
      <t>Bought</t>
    </r>
    <r>
      <rPr>
        <b/>
        <sz val="12"/>
        <color rgb="FFFFFFFF"/>
        <rFont val="Arial"/>
        <family val="2"/>
      </rPr>
      <t>99</t>
    </r>
    <r>
      <rPr>
        <sz val="12"/>
        <color rgb="FF67999F"/>
        <rFont val="Arial"/>
        <family val="2"/>
      </rPr>
      <t>at 84¢</t>
    </r>
  </si>
  <si>
    <t>05/28/2020 12:20 p.m. (ET)</t>
  </si>
  <si>
    <r>
      <t>Bought</t>
    </r>
    <r>
      <rPr>
        <b/>
        <sz val="12"/>
        <color rgb="FFFFFFFF"/>
        <rFont val="Arial"/>
        <family val="2"/>
      </rPr>
      <t>250</t>
    </r>
    <r>
      <rPr>
        <sz val="12"/>
        <color rgb="FF67999F"/>
        <rFont val="Arial"/>
        <family val="2"/>
      </rPr>
      <t>at 79¢</t>
    </r>
  </si>
  <si>
    <t>05/28/2020 12:01 p.m. (ET)</t>
  </si>
  <si>
    <r>
      <t>Bought</t>
    </r>
    <r>
      <rPr>
        <b/>
        <sz val="12"/>
        <color rgb="FFFFFFFF"/>
        <rFont val="Arial"/>
        <family val="2"/>
      </rPr>
      <t>210</t>
    </r>
    <r>
      <rPr>
        <sz val="12"/>
        <color rgb="FF67999F"/>
        <rFont val="Arial"/>
        <family val="2"/>
      </rPr>
      <t>at 79¢</t>
    </r>
  </si>
  <si>
    <t>05/28/2020 11:56 a.m. (ET)</t>
  </si>
  <si>
    <r>
      <t>Sold</t>
    </r>
    <r>
      <rPr>
        <b/>
        <sz val="12"/>
        <color rgb="FFFFFFFF"/>
        <rFont val="Arial"/>
        <family val="2"/>
      </rPr>
      <t>115</t>
    </r>
    <r>
      <rPr>
        <sz val="12"/>
        <color rgb="FF67999F"/>
        <rFont val="Arial"/>
        <family val="2"/>
      </rPr>
      <t>at 13¢</t>
    </r>
  </si>
  <si>
    <r>
      <t>Bought</t>
    </r>
    <r>
      <rPr>
        <b/>
        <sz val="12"/>
        <color rgb="FFFFFFFF"/>
        <rFont val="Arial"/>
        <family val="2"/>
      </rPr>
      <t>200</t>
    </r>
    <r>
      <rPr>
        <sz val="12"/>
        <color rgb="FF67999F"/>
        <rFont val="Arial"/>
        <family val="2"/>
      </rPr>
      <t>at 79¢</t>
    </r>
  </si>
  <si>
    <t>05/28/2020 10:46 a.m. (ET)</t>
  </si>
  <si>
    <t>05/28/2020 10:32 a.m. (ET)</t>
  </si>
  <si>
    <r>
      <t>Bought</t>
    </r>
    <r>
      <rPr>
        <b/>
        <sz val="12"/>
        <color rgb="FFFFFFFF"/>
        <rFont val="Arial"/>
        <family val="2"/>
      </rPr>
      <t>24</t>
    </r>
    <r>
      <rPr>
        <sz val="12"/>
        <color rgb="FF67999F"/>
        <rFont val="Arial"/>
        <family val="2"/>
      </rPr>
      <t>at 81¢</t>
    </r>
  </si>
  <si>
    <t>05/28/2020 10:26 a.m. (ET)</t>
  </si>
  <si>
    <r>
      <t>Bought</t>
    </r>
    <r>
      <rPr>
        <b/>
        <sz val="12"/>
        <color rgb="FFFFFFFF"/>
        <rFont val="Arial"/>
        <family val="2"/>
      </rPr>
      <t>140</t>
    </r>
    <r>
      <rPr>
        <sz val="12"/>
        <color rgb="FF67999F"/>
        <rFont val="Arial"/>
        <family val="2"/>
      </rPr>
      <t>at 12¢</t>
    </r>
  </si>
  <si>
    <t>05/28/2020 02:42 a.m. (ET)</t>
  </si>
  <si>
    <r>
      <t>Bought</t>
    </r>
    <r>
      <rPr>
        <b/>
        <sz val="12"/>
        <color rgb="FFFFFFFF"/>
        <rFont val="Arial"/>
        <family val="2"/>
      </rPr>
      <t>11</t>
    </r>
    <r>
      <rPr>
        <sz val="12"/>
        <color rgb="FF67999F"/>
        <rFont val="Arial"/>
        <family val="2"/>
      </rPr>
      <t>at 84¢</t>
    </r>
  </si>
  <si>
    <t>05/28/2020 02:02 a.m. (ET)</t>
  </si>
  <si>
    <r>
      <t>Bought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84¢</t>
    </r>
  </si>
  <si>
    <t>05/28/2020 01:52 a.m. (ET)</t>
  </si>
  <si>
    <r>
      <t>Bought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84¢</t>
    </r>
  </si>
  <si>
    <t>05/28/2020 01:41 a.m. (ET)</t>
  </si>
  <si>
    <r>
      <t>Bought</t>
    </r>
    <r>
      <rPr>
        <b/>
        <sz val="12"/>
        <color rgb="FFFFFFFF"/>
        <rFont val="Arial"/>
        <family val="2"/>
      </rPr>
      <t>88</t>
    </r>
    <r>
      <rPr>
        <sz val="12"/>
        <color rgb="FF67999F"/>
        <rFont val="Arial"/>
        <family val="2"/>
      </rPr>
      <t>at 84¢</t>
    </r>
  </si>
  <si>
    <t>05/28/2020 01:39 a.m. (ET)</t>
  </si>
  <si>
    <r>
      <t>Bought</t>
    </r>
    <r>
      <rPr>
        <b/>
        <sz val="12"/>
        <color rgb="FFFFFFFF"/>
        <rFont val="Arial"/>
        <family val="2"/>
      </rPr>
      <t>109</t>
    </r>
    <r>
      <rPr>
        <sz val="12"/>
        <color rgb="FF67999F"/>
        <rFont val="Arial"/>
        <family val="2"/>
      </rPr>
      <t>at 15¢</t>
    </r>
  </si>
  <si>
    <t>05/27/2020 11:32 p.m. (ET)</t>
  </si>
  <si>
    <r>
      <t>Bought</t>
    </r>
    <r>
      <rPr>
        <b/>
        <sz val="12"/>
        <color rgb="FFFFFFFF"/>
        <rFont val="Arial"/>
        <family val="2"/>
      </rPr>
      <t>51</t>
    </r>
    <r>
      <rPr>
        <sz val="12"/>
        <color rgb="FF67999F"/>
        <rFont val="Arial"/>
        <family val="2"/>
      </rPr>
      <t>at 14¢</t>
    </r>
  </si>
  <si>
    <r>
      <t>Bought</t>
    </r>
    <r>
      <rPr>
        <b/>
        <sz val="12"/>
        <color rgb="FFFFFFFF"/>
        <rFont val="Arial"/>
        <family val="2"/>
      </rPr>
      <t>70</t>
    </r>
    <r>
      <rPr>
        <sz val="12"/>
        <color rgb="FF67999F"/>
        <rFont val="Arial"/>
        <family val="2"/>
      </rPr>
      <t>at 76¢</t>
    </r>
  </si>
  <si>
    <t>05/27/2020 05:19 p.m. (ET)</t>
  </si>
  <si>
    <r>
      <t>Bought</t>
    </r>
    <r>
      <rPr>
        <b/>
        <sz val="12"/>
        <color rgb="FFFFFFFF"/>
        <rFont val="Arial"/>
        <family val="2"/>
      </rPr>
      <t>112</t>
    </r>
    <r>
      <rPr>
        <sz val="12"/>
        <color rgb="FF67999F"/>
        <rFont val="Arial"/>
        <family val="2"/>
      </rPr>
      <t>at 75¢</t>
    </r>
  </si>
  <si>
    <t>05/27/2020 04:56 p.m. (ET)</t>
  </si>
  <si>
    <r>
      <t>Bought</t>
    </r>
    <r>
      <rPr>
        <b/>
        <sz val="12"/>
        <color rgb="FFFFFFFF"/>
        <rFont val="Arial"/>
        <family val="2"/>
      </rPr>
      <t>135</t>
    </r>
    <r>
      <rPr>
        <sz val="12"/>
        <color rgb="FF67999F"/>
        <rFont val="Arial"/>
        <family val="2"/>
      </rPr>
      <t>at 72¢</t>
    </r>
  </si>
  <si>
    <t>05/27/2020 04:52 p.m. (ET)</t>
  </si>
  <si>
    <r>
      <t>Bought</t>
    </r>
    <r>
      <rPr>
        <b/>
        <sz val="12"/>
        <color rgb="FFFFFFFF"/>
        <rFont val="Arial"/>
        <family val="2"/>
      </rPr>
      <t>150</t>
    </r>
    <r>
      <rPr>
        <sz val="12"/>
        <color rgb="FF67999F"/>
        <rFont val="Arial"/>
        <family val="2"/>
      </rPr>
      <t>at 86¢</t>
    </r>
  </si>
  <si>
    <t>05/27/2020 04:45 p.m. (ET)</t>
  </si>
  <si>
    <r>
      <t>Sold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84¢</t>
    </r>
  </si>
  <si>
    <t>05/27/2020 04:23 p.m. (ET)</t>
  </si>
  <si>
    <r>
      <t>Sold</t>
    </r>
    <r>
      <rPr>
        <b/>
        <sz val="12"/>
        <color rgb="FFFFFFFF"/>
        <rFont val="Arial"/>
        <family val="2"/>
      </rPr>
      <t>10</t>
    </r>
    <r>
      <rPr>
        <sz val="12"/>
        <color rgb="FF67999F"/>
        <rFont val="Arial"/>
        <family val="2"/>
      </rPr>
      <t>at 84¢</t>
    </r>
  </si>
  <si>
    <r>
      <t>Bought</t>
    </r>
    <r>
      <rPr>
        <b/>
        <sz val="12"/>
        <color rgb="FFFFFFFF"/>
        <rFont val="Arial"/>
        <family val="2"/>
      </rPr>
      <t>25</t>
    </r>
    <r>
      <rPr>
        <sz val="12"/>
        <color rgb="FF67999F"/>
        <rFont val="Arial"/>
        <family val="2"/>
      </rPr>
      <t>at 87¢</t>
    </r>
  </si>
  <si>
    <t>05/27/2020 04:22 p.m. (ET)</t>
  </si>
  <si>
    <r>
      <t>Bought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82¢</t>
    </r>
  </si>
  <si>
    <t>05/27/2020 08:28 a.m. (ET)</t>
  </si>
  <si>
    <r>
      <t>Bought</t>
    </r>
    <r>
      <rPr>
        <b/>
        <sz val="12"/>
        <color rgb="FFFFFFFF"/>
        <rFont val="Arial"/>
        <family val="2"/>
      </rPr>
      <t>10</t>
    </r>
    <r>
      <rPr>
        <sz val="12"/>
        <color rgb="FF67999F"/>
        <rFont val="Arial"/>
        <family val="2"/>
      </rPr>
      <t>at 82¢</t>
    </r>
  </si>
  <si>
    <t>05/27/2020 08:21 a.m. (ET)</t>
  </si>
  <si>
    <r>
      <t>Bought</t>
    </r>
    <r>
      <rPr>
        <b/>
        <sz val="12"/>
        <color rgb="FFFFFFFF"/>
        <rFont val="Arial"/>
        <family val="2"/>
      </rPr>
      <t>10</t>
    </r>
    <r>
      <rPr>
        <sz val="12"/>
        <color rgb="FF67999F"/>
        <rFont val="Arial"/>
        <family val="2"/>
      </rPr>
      <t>at 87¢</t>
    </r>
  </si>
  <si>
    <t>05/27/2020 02:37 a.m. (ET)</t>
  </si>
  <si>
    <r>
      <t>Bought</t>
    </r>
    <r>
      <rPr>
        <b/>
        <sz val="12"/>
        <color rgb="FFFFFFFF"/>
        <rFont val="Arial"/>
        <family val="2"/>
      </rPr>
      <t>127</t>
    </r>
    <r>
      <rPr>
        <sz val="12"/>
        <color rgb="FF67999F"/>
        <rFont val="Arial"/>
        <family val="2"/>
      </rPr>
      <t>at 88¢</t>
    </r>
  </si>
  <si>
    <t>05/26/2020 11:15 p.m. (ET)</t>
  </si>
  <si>
    <r>
      <t>Bought</t>
    </r>
    <r>
      <rPr>
        <b/>
        <sz val="12"/>
        <color rgb="FFFFFFFF"/>
        <rFont val="Arial"/>
        <family val="2"/>
      </rPr>
      <t>111</t>
    </r>
    <r>
      <rPr>
        <sz val="12"/>
        <color rgb="FF67999F"/>
        <rFont val="Arial"/>
        <family val="2"/>
      </rPr>
      <t>at 87¢</t>
    </r>
  </si>
  <si>
    <r>
      <t>Sold</t>
    </r>
    <r>
      <rPr>
        <b/>
        <sz val="12"/>
        <color rgb="FFFFFFFF"/>
        <rFont val="Arial"/>
        <family val="2"/>
      </rPr>
      <t>78</t>
    </r>
    <r>
      <rPr>
        <sz val="12"/>
        <color rgb="FF67999F"/>
        <rFont val="Arial"/>
        <family val="2"/>
      </rPr>
      <t>at 89¢</t>
    </r>
  </si>
  <si>
    <t>05/26/2020 11:04 a.m. (ET)</t>
  </si>
  <si>
    <r>
      <t>Sold</t>
    </r>
    <r>
      <rPr>
        <b/>
        <sz val="12"/>
        <color rgb="FFFFFFFF"/>
        <rFont val="Arial"/>
        <family val="2"/>
      </rPr>
      <t>741</t>
    </r>
    <r>
      <rPr>
        <sz val="12"/>
        <color rgb="FF67999F"/>
        <rFont val="Arial"/>
        <family val="2"/>
      </rPr>
      <t>at 89¢</t>
    </r>
  </si>
  <si>
    <r>
      <t>Sold</t>
    </r>
    <r>
      <rPr>
        <b/>
        <sz val="12"/>
        <color rgb="FFFFFFFF"/>
        <rFont val="Arial"/>
        <family val="2"/>
      </rPr>
      <t>72</t>
    </r>
    <r>
      <rPr>
        <sz val="12"/>
        <color rgb="FF67999F"/>
        <rFont val="Arial"/>
        <family val="2"/>
      </rPr>
      <t>at 15¢</t>
    </r>
  </si>
  <si>
    <t>05/25/2020 02:23 p.m. (ET)</t>
  </si>
  <si>
    <r>
      <t>Sold</t>
    </r>
    <r>
      <rPr>
        <b/>
        <sz val="12"/>
        <color rgb="FFFFFFFF"/>
        <rFont val="Arial"/>
        <family val="2"/>
      </rPr>
      <t>27</t>
    </r>
    <r>
      <rPr>
        <sz val="12"/>
        <color rgb="FF67999F"/>
        <rFont val="Arial"/>
        <family val="2"/>
      </rPr>
      <t>at 15¢</t>
    </r>
  </si>
  <si>
    <t>05/25/2020 02:16 p.m. (ET)</t>
  </si>
  <si>
    <r>
      <t>Sold</t>
    </r>
    <r>
      <rPr>
        <b/>
        <sz val="12"/>
        <color rgb="FFFFFFFF"/>
        <rFont val="Arial"/>
        <family val="2"/>
      </rPr>
      <t>80</t>
    </r>
    <r>
      <rPr>
        <sz val="12"/>
        <color rgb="FF67999F"/>
        <rFont val="Arial"/>
        <family val="2"/>
      </rPr>
      <t>at 14¢</t>
    </r>
  </si>
  <si>
    <r>
      <t>Bought</t>
    </r>
    <r>
      <rPr>
        <b/>
        <sz val="12"/>
        <color rgb="FFFFFFFF"/>
        <rFont val="Arial"/>
        <family val="2"/>
      </rPr>
      <t>78</t>
    </r>
    <r>
      <rPr>
        <sz val="12"/>
        <color rgb="FF67999F"/>
        <rFont val="Arial"/>
        <family val="2"/>
      </rPr>
      <t>at 81¢</t>
    </r>
  </si>
  <si>
    <t>05/25/2020 12:18 p.m. (ET)</t>
  </si>
  <si>
    <r>
      <t>Bought</t>
    </r>
    <r>
      <rPr>
        <b/>
        <sz val="12"/>
        <color rgb="FFFFFFFF"/>
        <rFont val="Arial"/>
        <family val="2"/>
      </rPr>
      <t>14</t>
    </r>
    <r>
      <rPr>
        <sz val="12"/>
        <color rgb="FF67999F"/>
        <rFont val="Arial"/>
        <family val="2"/>
      </rPr>
      <t>at 81¢</t>
    </r>
  </si>
  <si>
    <t>05/25/2020 11:45 a.m. (ET)</t>
  </si>
  <si>
    <r>
      <t>Bought</t>
    </r>
    <r>
      <rPr>
        <b/>
        <sz val="12"/>
        <color rgb="FFFFFFFF"/>
        <rFont val="Arial"/>
        <family val="2"/>
      </rPr>
      <t>97</t>
    </r>
    <r>
      <rPr>
        <sz val="12"/>
        <color rgb="FF67999F"/>
        <rFont val="Arial"/>
        <family val="2"/>
      </rPr>
      <t>at 82¢</t>
    </r>
  </si>
  <si>
    <t>05/25/2020 11:42 a.m. (ET)</t>
  </si>
  <si>
    <r>
      <t>Bought</t>
    </r>
    <r>
      <rPr>
        <b/>
        <sz val="12"/>
        <color rgb="FFFFFFFF"/>
        <rFont val="Arial"/>
        <family val="2"/>
      </rPr>
      <t>3</t>
    </r>
    <r>
      <rPr>
        <sz val="12"/>
        <color rgb="FF67999F"/>
        <rFont val="Arial"/>
        <family val="2"/>
      </rPr>
      <t>at 82¢</t>
    </r>
  </si>
  <si>
    <t>05/25/2020 11:35 a.m. (ET)</t>
  </si>
  <si>
    <r>
      <t>Sold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17¢</t>
    </r>
  </si>
  <si>
    <t>05/25/2020 10:44 a.m. (ET)</t>
  </si>
  <si>
    <r>
      <t>Sold</t>
    </r>
    <r>
      <rPr>
        <b/>
        <sz val="12"/>
        <color rgb="FFFFFFFF"/>
        <rFont val="Arial"/>
        <family val="2"/>
      </rPr>
      <t>20</t>
    </r>
    <r>
      <rPr>
        <sz val="12"/>
        <color rgb="FF67999F"/>
        <rFont val="Arial"/>
        <family val="2"/>
      </rPr>
      <t>at 17¢</t>
    </r>
  </si>
  <si>
    <t>05/25/2020 09:37 a.m. (ET)</t>
  </si>
  <si>
    <r>
      <t>Sold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16¢</t>
    </r>
  </si>
  <si>
    <t>05/25/2020 09:33 a.m. (ET)</t>
  </si>
  <si>
    <r>
      <t>Sold</t>
    </r>
    <r>
      <rPr>
        <b/>
        <sz val="12"/>
        <color rgb="FFFFFFFF"/>
        <rFont val="Arial"/>
        <family val="2"/>
      </rPr>
      <t>177</t>
    </r>
    <r>
      <rPr>
        <sz val="12"/>
        <color rgb="FF67999F"/>
        <rFont val="Arial"/>
        <family val="2"/>
      </rPr>
      <t>at 15¢</t>
    </r>
  </si>
  <si>
    <t>05/25/2020 09:26 a.m. (ET)</t>
  </si>
  <si>
    <r>
      <t>Sold</t>
    </r>
    <r>
      <rPr>
        <b/>
        <sz val="12"/>
        <color rgb="FFFFFFFF"/>
        <rFont val="Arial"/>
        <family val="2"/>
      </rPr>
      <t>23</t>
    </r>
    <r>
      <rPr>
        <sz val="12"/>
        <color rgb="FF67999F"/>
        <rFont val="Arial"/>
        <family val="2"/>
      </rPr>
      <t>at 15¢</t>
    </r>
  </si>
  <si>
    <r>
      <t>Bought</t>
    </r>
    <r>
      <rPr>
        <b/>
        <sz val="12"/>
        <color rgb="FFFFFFFF"/>
        <rFont val="Arial"/>
        <family val="2"/>
      </rPr>
      <t>143</t>
    </r>
    <r>
      <rPr>
        <sz val="12"/>
        <color rgb="FF67999F"/>
        <rFont val="Arial"/>
        <family val="2"/>
      </rPr>
      <t>at 80¢</t>
    </r>
  </si>
  <si>
    <t>05/24/2020 11:31 p.m. (ET)</t>
  </si>
  <si>
    <r>
      <t>Bought</t>
    </r>
    <r>
      <rPr>
        <b/>
        <sz val="12"/>
        <color rgb="FFFFFFFF"/>
        <rFont val="Arial"/>
        <family val="2"/>
      </rPr>
      <t>73</t>
    </r>
    <r>
      <rPr>
        <sz val="12"/>
        <color rgb="FF67999F"/>
        <rFont val="Arial"/>
        <family val="2"/>
      </rPr>
      <t>at 68¢</t>
    </r>
  </si>
  <si>
    <t>05/24/2020 06:49 p.m. (ET)</t>
  </si>
  <si>
    <r>
      <t>Bought</t>
    </r>
    <r>
      <rPr>
        <b/>
        <sz val="12"/>
        <color rgb="FFFFFFFF"/>
        <rFont val="Arial"/>
        <family val="2"/>
      </rPr>
      <t>108</t>
    </r>
    <r>
      <rPr>
        <sz val="12"/>
        <color rgb="FF67999F"/>
        <rFont val="Arial"/>
        <family val="2"/>
      </rPr>
      <t>at 68¢</t>
    </r>
  </si>
  <si>
    <t>05/24/2020 06:43 p.m. (ET)</t>
  </si>
  <si>
    <r>
      <t>Bought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68¢</t>
    </r>
  </si>
  <si>
    <t>05/24/2020 06:32 p.m. (ET)</t>
  </si>
  <si>
    <r>
      <t>Bought</t>
    </r>
    <r>
      <rPr>
        <b/>
        <sz val="12"/>
        <color rgb="FFFFFFFF"/>
        <rFont val="Arial"/>
        <family val="2"/>
      </rPr>
      <t>45</t>
    </r>
    <r>
      <rPr>
        <sz val="12"/>
        <color rgb="FF67999F"/>
        <rFont val="Arial"/>
        <family val="2"/>
      </rPr>
      <t>at 68¢</t>
    </r>
  </si>
  <si>
    <t>05/24/2020 06:31 p.m. (ET)</t>
  </si>
  <si>
    <t>05/24/2020 06:29 p.m. (ET)</t>
  </si>
  <si>
    <r>
      <t>Bought</t>
    </r>
    <r>
      <rPr>
        <b/>
        <sz val="12"/>
        <color rgb="FFFFFFFF"/>
        <rFont val="Arial"/>
        <family val="2"/>
      </rPr>
      <t>2</t>
    </r>
    <r>
      <rPr>
        <sz val="12"/>
        <color rgb="FF67999F"/>
        <rFont val="Arial"/>
        <family val="2"/>
      </rPr>
      <t>at 68¢</t>
    </r>
  </si>
  <si>
    <t>05/24/2020 06:19 p.m. (ET)</t>
  </si>
  <si>
    <t>05/24/2020 06:00 p.m. (ET)</t>
  </si>
  <si>
    <r>
      <t>Bought</t>
    </r>
    <r>
      <rPr>
        <b/>
        <sz val="12"/>
        <color rgb="FFFFFFFF"/>
        <rFont val="Arial"/>
        <family val="2"/>
      </rPr>
      <t>26</t>
    </r>
    <r>
      <rPr>
        <sz val="12"/>
        <color rgb="FF67999F"/>
        <rFont val="Arial"/>
        <family val="2"/>
      </rPr>
      <t>at 68¢</t>
    </r>
  </si>
  <si>
    <t>05/24/2020 05:56 p.m. (ET)</t>
  </si>
  <si>
    <r>
      <t>Bought</t>
    </r>
    <r>
      <rPr>
        <b/>
        <sz val="12"/>
        <color rgb="FFFFFFFF"/>
        <rFont val="Arial"/>
        <family val="2"/>
      </rPr>
      <t>90</t>
    </r>
    <r>
      <rPr>
        <sz val="12"/>
        <color rgb="FF67999F"/>
        <rFont val="Arial"/>
        <family val="2"/>
      </rPr>
      <t>at 69¢</t>
    </r>
  </si>
  <si>
    <t>05/24/2020 05:49 p.m. (ET)</t>
  </si>
  <si>
    <r>
      <t>Bought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69¢</t>
    </r>
  </si>
  <si>
    <t>05/24/2020 05:43 p.m. (ET)</t>
  </si>
  <si>
    <r>
      <t>Sold</t>
    </r>
    <r>
      <rPr>
        <b/>
        <sz val="12"/>
        <color rgb="FFFFFFFF"/>
        <rFont val="Arial"/>
        <family val="2"/>
      </rPr>
      <t>150</t>
    </r>
    <r>
      <rPr>
        <sz val="12"/>
        <color rgb="FF67999F"/>
        <rFont val="Arial"/>
        <family val="2"/>
      </rPr>
      <t>at 13¢</t>
    </r>
  </si>
  <si>
    <r>
      <t>Sold</t>
    </r>
    <r>
      <rPr>
        <b/>
        <sz val="12"/>
        <color rgb="FFFFFFFF"/>
        <rFont val="Arial"/>
        <family val="2"/>
      </rPr>
      <t>50</t>
    </r>
    <r>
      <rPr>
        <sz val="12"/>
        <color rgb="FF67999F"/>
        <rFont val="Arial"/>
        <family val="2"/>
      </rPr>
      <t>at 13¢</t>
    </r>
  </si>
  <si>
    <r>
      <t>Bought</t>
    </r>
    <r>
      <rPr>
        <b/>
        <sz val="12"/>
        <color rgb="FFFFFFFF"/>
        <rFont val="Arial"/>
        <family val="2"/>
      </rPr>
      <t>22</t>
    </r>
    <r>
      <rPr>
        <sz val="12"/>
        <color rgb="FF67999F"/>
        <rFont val="Arial"/>
        <family val="2"/>
      </rPr>
      <t>at 71¢</t>
    </r>
  </si>
  <si>
    <t>05/24/2020 05:42 p.m. (ET)</t>
  </si>
  <si>
    <r>
      <t>Bought</t>
    </r>
    <r>
      <rPr>
        <b/>
        <sz val="12"/>
        <color rgb="FFFFFFFF"/>
        <rFont val="Arial"/>
        <family val="2"/>
      </rPr>
      <t>20</t>
    </r>
    <r>
      <rPr>
        <sz val="12"/>
        <color rgb="FF67999F"/>
        <rFont val="Arial"/>
        <family val="2"/>
      </rPr>
      <t>at 70¢</t>
    </r>
  </si>
  <si>
    <t>05/24/2020 05:40 p.m. (ET)</t>
  </si>
  <si>
    <r>
      <t>Bought</t>
    </r>
    <r>
      <rPr>
        <b/>
        <sz val="12"/>
        <color rgb="FFFFFFFF"/>
        <rFont val="Arial"/>
        <family val="2"/>
      </rPr>
      <t>9</t>
    </r>
    <r>
      <rPr>
        <sz val="12"/>
        <color rgb="FF67999F"/>
        <rFont val="Arial"/>
        <family val="2"/>
      </rPr>
      <t>at 69¢</t>
    </r>
  </si>
  <si>
    <t>05/24/2020 05:39 p.m. (ET)</t>
  </si>
  <si>
    <r>
      <t>Bought</t>
    </r>
    <r>
      <rPr>
        <b/>
        <sz val="12"/>
        <color rgb="FFFFFFFF"/>
        <rFont val="Arial"/>
        <family val="2"/>
      </rPr>
      <t>60</t>
    </r>
    <r>
      <rPr>
        <sz val="12"/>
        <color rgb="FF67999F"/>
        <rFont val="Arial"/>
        <family val="2"/>
      </rPr>
      <t>at 70¢</t>
    </r>
  </si>
  <si>
    <t>05/24/2020 05:36 p.m. (ET)</t>
  </si>
  <si>
    <r>
      <t>Bought</t>
    </r>
    <r>
      <rPr>
        <b/>
        <sz val="12"/>
        <color rgb="FFFFFFFF"/>
        <rFont val="Arial"/>
        <family val="2"/>
      </rPr>
      <t>25</t>
    </r>
    <r>
      <rPr>
        <sz val="12"/>
        <color rgb="FF67999F"/>
        <rFont val="Arial"/>
        <family val="2"/>
      </rPr>
      <t>at 69¢</t>
    </r>
  </si>
  <si>
    <t>05/24/2020 05:35 p.m. (ET)</t>
  </si>
  <si>
    <r>
      <t>Bought</t>
    </r>
    <r>
      <rPr>
        <b/>
        <sz val="12"/>
        <color rgb="FFFFFFFF"/>
        <rFont val="Arial"/>
        <family val="2"/>
      </rPr>
      <t>177</t>
    </r>
    <r>
      <rPr>
        <sz val="12"/>
        <color rgb="FF67999F"/>
        <rFont val="Arial"/>
        <family val="2"/>
      </rPr>
      <t>at 12¢</t>
    </r>
  </si>
  <si>
    <t>05/24/2020 12:53 p.m. (ET)</t>
  </si>
  <si>
    <r>
      <t>Bought</t>
    </r>
    <r>
      <rPr>
        <b/>
        <sz val="12"/>
        <color rgb="FFFFFFFF"/>
        <rFont val="Arial"/>
        <family val="2"/>
      </rPr>
      <t>23</t>
    </r>
    <r>
      <rPr>
        <sz val="12"/>
        <color rgb="FF67999F"/>
        <rFont val="Arial"/>
        <family val="2"/>
      </rPr>
      <t>at 12¢</t>
    </r>
  </si>
  <si>
    <t>05/24/2020 12:44 p.m. (ET)</t>
  </si>
  <si>
    <r>
      <t>Bought</t>
    </r>
    <r>
      <rPr>
        <b/>
        <sz val="12"/>
        <color rgb="FFFFFFFF"/>
        <rFont val="Arial"/>
        <family val="2"/>
      </rPr>
      <t>200</t>
    </r>
    <r>
      <rPr>
        <sz val="12"/>
        <color rgb="FF67999F"/>
        <rFont val="Arial"/>
        <family val="2"/>
      </rPr>
      <t>at 14¢</t>
    </r>
  </si>
  <si>
    <t>05/24/2020 12:41 p.m. (ET)</t>
  </si>
  <si>
    <r>
      <t>Sold</t>
    </r>
    <r>
      <rPr>
        <b/>
        <sz val="12"/>
        <color rgb="FFFFFFFF"/>
        <rFont val="Arial"/>
        <family val="2"/>
      </rPr>
      <t>47</t>
    </r>
    <r>
      <rPr>
        <sz val="12"/>
        <color rgb="FF67999F"/>
        <rFont val="Arial"/>
        <family val="2"/>
      </rPr>
      <t>at 63¢</t>
    </r>
  </si>
  <si>
    <t>05/24/2020 12:40 p.m. (ET)</t>
  </si>
  <si>
    <r>
      <t>Sold</t>
    </r>
    <r>
      <rPr>
        <b/>
        <sz val="12"/>
        <color rgb="FFFFFFFF"/>
        <rFont val="Arial"/>
        <family val="2"/>
      </rPr>
      <t>27</t>
    </r>
    <r>
      <rPr>
        <sz val="12"/>
        <color rgb="FF67999F"/>
        <rFont val="Arial"/>
        <family val="2"/>
      </rPr>
      <t>at 64¢</t>
    </r>
  </si>
  <si>
    <r>
      <t>Sold</t>
    </r>
    <r>
      <rPr>
        <b/>
        <sz val="12"/>
        <color rgb="FFFFFFFF"/>
        <rFont val="Arial"/>
        <family val="2"/>
      </rPr>
      <t>40</t>
    </r>
    <r>
      <rPr>
        <sz val="12"/>
        <color rgb="FF67999F"/>
        <rFont val="Arial"/>
        <family val="2"/>
      </rPr>
      <t>at 65¢</t>
    </r>
  </si>
  <si>
    <t>05/24/2020 12:38 p.m. (ET)</t>
  </si>
  <si>
    <r>
      <t>Bought</t>
    </r>
    <r>
      <rPr>
        <b/>
        <sz val="12"/>
        <color rgb="FFFFFFFF"/>
        <rFont val="Arial"/>
        <family val="2"/>
      </rPr>
      <t>200</t>
    </r>
    <r>
      <rPr>
        <sz val="12"/>
        <color rgb="FF67999F"/>
        <rFont val="Arial"/>
        <family val="2"/>
      </rPr>
      <t>at 8¢</t>
    </r>
  </si>
  <si>
    <r>
      <t>Sold</t>
    </r>
    <r>
      <rPr>
        <b/>
        <sz val="12"/>
        <color rgb="FFFFFFFF"/>
        <rFont val="Arial"/>
        <family val="2"/>
      </rPr>
      <t>186</t>
    </r>
    <r>
      <rPr>
        <sz val="12"/>
        <color rgb="FF67999F"/>
        <rFont val="Arial"/>
        <family val="2"/>
      </rPr>
      <t>at 66¢</t>
    </r>
  </si>
  <si>
    <t>05/24/2020 12:37 p.m. (ET)</t>
  </si>
  <si>
    <r>
      <t>Bought</t>
    </r>
    <r>
      <rPr>
        <b/>
        <sz val="12"/>
        <color rgb="FFFFFFFF"/>
        <rFont val="Arial"/>
        <family val="2"/>
      </rPr>
      <t>200</t>
    </r>
    <r>
      <rPr>
        <sz val="12"/>
        <color rgb="FF67999F"/>
        <rFont val="Arial"/>
        <family val="2"/>
      </rPr>
      <t>at 9¢</t>
    </r>
  </si>
  <si>
    <r>
      <t>Bought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62¢</t>
    </r>
  </si>
  <si>
    <t>05/24/2020 09:28 a.m. (ET)</t>
  </si>
  <si>
    <t>05/24/2020 02:00 a.m. (ET)</t>
  </si>
  <si>
    <r>
      <t>Bought</t>
    </r>
    <r>
      <rPr>
        <b/>
        <sz val="12"/>
        <color rgb="FFFFFFFF"/>
        <rFont val="Arial"/>
        <family val="2"/>
      </rPr>
      <t>59</t>
    </r>
    <r>
      <rPr>
        <sz val="12"/>
        <color rgb="FF67999F"/>
        <rFont val="Arial"/>
        <family val="2"/>
      </rPr>
      <t>at 64¢</t>
    </r>
  </si>
  <si>
    <t>05/24/2020 12:51 a.m. (ET)</t>
  </si>
  <si>
    <r>
      <t>Bought</t>
    </r>
    <r>
      <rPr>
        <b/>
        <sz val="12"/>
        <color rgb="FFFFFFFF"/>
        <rFont val="Arial"/>
        <family val="2"/>
      </rPr>
      <t>41</t>
    </r>
    <r>
      <rPr>
        <sz val="12"/>
        <color rgb="FF67999F"/>
        <rFont val="Arial"/>
        <family val="2"/>
      </rPr>
      <t>at 64¢</t>
    </r>
  </si>
  <si>
    <t>05/24/2020 12:50 a.m. (ET)</t>
  </si>
  <si>
    <r>
      <t>Sold</t>
    </r>
    <r>
      <rPr>
        <b/>
        <sz val="12"/>
        <color rgb="FFFFFFFF"/>
        <rFont val="Arial"/>
        <family val="2"/>
      </rPr>
      <t>125</t>
    </r>
    <r>
      <rPr>
        <sz val="12"/>
        <color rgb="FF67999F"/>
        <rFont val="Arial"/>
        <family val="2"/>
      </rPr>
      <t>at 31¢</t>
    </r>
  </si>
  <si>
    <t>05/23/2020 11:14 p.m. (ET)</t>
  </si>
  <si>
    <r>
      <t>Sold</t>
    </r>
    <r>
      <rPr>
        <b/>
        <sz val="12"/>
        <color rgb="FFFFFFFF"/>
        <rFont val="Arial"/>
        <family val="2"/>
      </rPr>
      <t>20</t>
    </r>
    <r>
      <rPr>
        <sz val="12"/>
        <color rgb="FF67999F"/>
        <rFont val="Arial"/>
        <family val="2"/>
      </rPr>
      <t>at 34¢</t>
    </r>
  </si>
  <si>
    <t>05/23/2020 10:12 p.m. (ET)</t>
  </si>
  <si>
    <r>
      <t>Bought</t>
    </r>
    <r>
      <rPr>
        <b/>
        <sz val="12"/>
        <color rgb="FFFFFFFF"/>
        <rFont val="Arial"/>
        <family val="2"/>
      </rPr>
      <t>145</t>
    </r>
    <r>
      <rPr>
        <sz val="12"/>
        <color rgb="FF67999F"/>
        <rFont val="Arial"/>
        <family val="2"/>
      </rPr>
      <t>at 33¢</t>
    </r>
  </si>
  <si>
    <t>05/23/2020 06:59 p.m. (ET)</t>
  </si>
  <si>
    <t>95 or more</t>
  </si>
  <si>
    <r>
      <t>Sold</t>
    </r>
    <r>
      <rPr>
        <b/>
        <sz val="12"/>
        <color rgb="FFFFFFFF"/>
        <rFont val="Arial"/>
        <family val="2"/>
      </rPr>
      <t>19</t>
    </r>
    <r>
      <rPr>
        <sz val="12"/>
        <color rgb="FF67999F"/>
        <rFont val="Arial"/>
        <family val="2"/>
      </rPr>
      <t>at 92¢</t>
    </r>
  </si>
  <si>
    <t>05/23/2020 06:23 p.m. (ET)</t>
  </si>
  <si>
    <r>
      <t>Sold</t>
    </r>
    <r>
      <rPr>
        <b/>
        <sz val="12"/>
        <color rgb="FFFFFFFF"/>
        <rFont val="Arial"/>
        <family val="2"/>
      </rPr>
      <t>785</t>
    </r>
    <r>
      <rPr>
        <sz val="12"/>
        <color rgb="FF67999F"/>
        <rFont val="Arial"/>
        <family val="2"/>
      </rPr>
      <t>at 92¢</t>
    </r>
  </si>
  <si>
    <r>
      <t>Sold</t>
    </r>
    <r>
      <rPr>
        <b/>
        <sz val="12"/>
        <color rgb="FFFFFFFF"/>
        <rFont val="Arial"/>
        <family val="2"/>
      </rPr>
      <t>100</t>
    </r>
    <r>
      <rPr>
        <sz val="12"/>
        <color rgb="FF67999F"/>
        <rFont val="Arial"/>
        <family val="2"/>
      </rPr>
      <t>at 93¢</t>
    </r>
  </si>
  <si>
    <t>05/23/2020 06:13 p.m. (ET)</t>
  </si>
  <si>
    <r>
      <t>Bought</t>
    </r>
    <r>
      <rPr>
        <b/>
        <sz val="12"/>
        <color rgb="FFFFFFFF"/>
        <rFont val="Arial"/>
        <family val="2"/>
      </rPr>
      <t>904</t>
    </r>
    <r>
      <rPr>
        <sz val="12"/>
        <color rgb="FF67999F"/>
        <rFont val="Arial"/>
        <family val="2"/>
      </rPr>
      <t>at 94¢</t>
    </r>
  </si>
  <si>
    <t>05/23/2020 06:11 p.m. (ET)</t>
  </si>
  <si>
    <r>
      <t>Sold</t>
    </r>
    <r>
      <rPr>
        <b/>
        <sz val="12"/>
        <color rgb="FFFFFFFF"/>
        <rFont val="Arial"/>
        <family val="2"/>
      </rPr>
      <t>30</t>
    </r>
    <r>
      <rPr>
        <sz val="12"/>
        <color rgb="FF67999F"/>
        <rFont val="Arial"/>
        <family val="2"/>
      </rPr>
      <t>at 75¢</t>
    </r>
  </si>
  <si>
    <t>05/22/2020 03:34 p.m. (ET)</t>
  </si>
  <si>
    <r>
      <t>Sold</t>
    </r>
    <r>
      <rPr>
        <b/>
        <sz val="12"/>
        <color rgb="FFFFFFFF"/>
        <rFont val="Arial"/>
        <family val="2"/>
      </rPr>
      <t>110</t>
    </r>
    <r>
      <rPr>
        <sz val="12"/>
        <color rgb="FF67999F"/>
        <rFont val="Arial"/>
        <family val="2"/>
      </rPr>
      <t>at 76¢</t>
    </r>
  </si>
  <si>
    <r>
      <t>Bought</t>
    </r>
    <r>
      <rPr>
        <b/>
        <sz val="12"/>
        <color rgb="FFFFFFFF"/>
        <rFont val="Arial"/>
        <family val="2"/>
      </rPr>
      <t>140</t>
    </r>
    <r>
      <rPr>
        <sz val="12"/>
        <color rgb="FF67999F"/>
        <rFont val="Arial"/>
        <family val="2"/>
      </rPr>
      <t>at 77¢</t>
    </r>
  </si>
  <si>
    <t>05/22/2020 02:14 p.m. (ET)</t>
  </si>
  <si>
    <r>
      <t>Sold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85¢</t>
    </r>
  </si>
  <si>
    <t>05/22/2020 01:28 p.m. (ET)</t>
  </si>
  <si>
    <r>
      <t>Bought</t>
    </r>
    <r>
      <rPr>
        <b/>
        <sz val="12"/>
        <color rgb="FFFFFFFF"/>
        <rFont val="Arial"/>
        <family val="2"/>
      </rPr>
      <t>1</t>
    </r>
    <r>
      <rPr>
        <sz val="12"/>
        <color rgb="FF67999F"/>
        <rFont val="Arial"/>
        <family val="2"/>
      </rPr>
      <t>at 80¢</t>
    </r>
  </si>
  <si>
    <t>05/22/2020 01:02 p.m. (ET)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</si>
</sst>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263B3F"/>
      <name val="Arial"/>
      <family val="2"/>
    </font>
    <font>
      <i/>
      <sz val="12"/>
      <color rgb="FF263B3F"/>
      <name val="Arial"/>
      <family val="2"/>
    </font>
    <font>
      <i/>
      <sz val="12"/>
      <color rgb="FF263B3F"/>
      <name val="Arial"/>
      <family val="2"/>
    </font>
    <font>
      <sz val="12"/>
      <color rgb="FF67999F"/>
      <name val="Arial"/>
      <family val="2"/>
    </font>
    <font>
      <b/>
      <sz val="12"/>
      <color rgb="FFFFFFFF"/>
      <name val="Arial"/>
      <family val="2"/>
    </font>
    <font>
      <u/>
      <sz val="12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44" fontId="0" fillId="0" borderId="0" xfId="0" applyNumberFormat="1"/>
    <xf numFmtId="0" fontId="0" fillId="0" borderId="0" xfId="0" applyFont="1"/>
    <xf numFmtId="0" fontId="0" fillId="5" borderId="0" xfId="0" applyFont="1" applyFill="1"/>
    <xf numFmtId="16" fontId="0" fillId="0" borderId="0" xfId="0" applyNumberFormat="1" applyFont="1"/>
    <xf numFmtId="44" fontId="3" fillId="0" borderId="0" xfId="0" applyNumberFormat="1" applyFont="1"/>
    <xf numFmtId="44" fontId="4" fillId="0" borderId="0" xfId="0" applyNumberFormat="1" applyFont="1"/>
    <xf numFmtId="2" fontId="0" fillId="0" borderId="0" xfId="0" applyNumberFormat="1" applyFont="1"/>
    <xf numFmtId="0" fontId="0" fillId="2" borderId="0" xfId="0" applyFont="1" applyFill="1" applyAlignment="1"/>
    <xf numFmtId="0" fontId="0" fillId="3" borderId="0" xfId="0" applyFont="1" applyFill="1" applyAlignment="1"/>
    <xf numFmtId="0" fontId="0" fillId="4" borderId="0" xfId="0" applyFont="1" applyFill="1" applyAlignment="1"/>
    <xf numFmtId="164" fontId="0" fillId="2" borderId="0" xfId="1" applyNumberFormat="1" applyFont="1" applyFill="1" applyAlignment="1"/>
    <xf numFmtId="164" fontId="0" fillId="3" borderId="0" xfId="1" applyNumberFormat="1" applyFont="1" applyFill="1" applyAlignment="1"/>
    <xf numFmtId="164" fontId="0" fillId="4" borderId="0" xfId="1" applyNumberFormat="1" applyFont="1" applyFill="1" applyAlignment="1"/>
    <xf numFmtId="0" fontId="2" fillId="6" borderId="0" xfId="0" applyFont="1" applyFill="1"/>
    <xf numFmtId="164" fontId="2" fillId="6" borderId="0" xfId="0" applyNumberFormat="1" applyFont="1" applyFill="1"/>
    <xf numFmtId="164" fontId="0" fillId="0" borderId="0" xfId="0" applyNumberFormat="1"/>
    <xf numFmtId="0" fontId="6" fillId="0" borderId="0" xfId="0" applyFont="1"/>
    <xf numFmtId="0" fontId="7" fillId="0" borderId="0" xfId="0" applyFont="1"/>
    <xf numFmtId="0" fontId="11" fillId="0" borderId="0" xfId="2"/>
    <xf numFmtId="8" fontId="7" fillId="0" borderId="0" xfId="0" applyNumberFormat="1" applyFont="1"/>
    <xf numFmtId="8" fontId="8" fillId="0" borderId="0" xfId="0" applyNumberFormat="1" applyFont="1"/>
    <xf numFmtId="0" fontId="9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3</xdr:row>
          <xdr:rowOff>139700</xdr:rowOff>
        </xdr:from>
        <xdr:to>
          <xdr:col>18</xdr:col>
          <xdr:colOff>711200</xdr:colOff>
          <xdr:row>10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10</xdr:row>
          <xdr:rowOff>127000</xdr:rowOff>
        </xdr:from>
        <xdr:to>
          <xdr:col>18</xdr:col>
          <xdr:colOff>711200</xdr:colOff>
          <xdr:row>12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Hide Details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predictit.org/account/history/6726?contractId=22828" TargetMode="External"/><Relationship Id="rId21" Type="http://schemas.openxmlformats.org/officeDocument/2006/relationships/hyperlink" Target="https://www.predictit.org/account/history/6726?contractId=22825" TargetMode="External"/><Relationship Id="rId42" Type="http://schemas.openxmlformats.org/officeDocument/2006/relationships/hyperlink" Target="https://www.predictit.org/account/history/6726?contractId=22825" TargetMode="External"/><Relationship Id="rId63" Type="http://schemas.openxmlformats.org/officeDocument/2006/relationships/hyperlink" Target="https://www.predictit.org/account/history/6726?contractId=22825" TargetMode="External"/><Relationship Id="rId84" Type="http://schemas.openxmlformats.org/officeDocument/2006/relationships/hyperlink" Target="https://www.predictit.org/account/history/6726?contractId=22824" TargetMode="External"/><Relationship Id="rId138" Type="http://schemas.openxmlformats.org/officeDocument/2006/relationships/hyperlink" Target="https://www.predictit.org/account/history/6726?contractId=22823" TargetMode="External"/><Relationship Id="rId159" Type="http://schemas.openxmlformats.org/officeDocument/2006/relationships/hyperlink" Target="https://www.predictit.org/account/history/6726?contractId=22828" TargetMode="External"/><Relationship Id="rId170" Type="http://schemas.openxmlformats.org/officeDocument/2006/relationships/hyperlink" Target="https://www.predictit.org/account/history/6726?contractId=22823" TargetMode="External"/><Relationship Id="rId191" Type="http://schemas.openxmlformats.org/officeDocument/2006/relationships/hyperlink" Target="https://www.predictit.org/account/history/6726?contractId=22823" TargetMode="External"/><Relationship Id="rId107" Type="http://schemas.openxmlformats.org/officeDocument/2006/relationships/hyperlink" Target="https://www.predictit.org/account/history/6726?contractId=22828" TargetMode="External"/><Relationship Id="rId11" Type="http://schemas.openxmlformats.org/officeDocument/2006/relationships/hyperlink" Target="https://www.predictit.org/account/history/6726?contractId=22827" TargetMode="External"/><Relationship Id="rId32" Type="http://schemas.openxmlformats.org/officeDocument/2006/relationships/hyperlink" Target="https://www.predictit.org/account/history/6726?contractId=22825" TargetMode="External"/><Relationship Id="rId53" Type="http://schemas.openxmlformats.org/officeDocument/2006/relationships/hyperlink" Target="https://www.predictit.org/account/history/6726?contractId=22827" TargetMode="External"/><Relationship Id="rId74" Type="http://schemas.openxmlformats.org/officeDocument/2006/relationships/hyperlink" Target="https://www.predictit.org/account/history/6726?contractId=22824" TargetMode="External"/><Relationship Id="rId128" Type="http://schemas.openxmlformats.org/officeDocument/2006/relationships/hyperlink" Target="https://www.predictit.org/account/history/6726?contractId=22828" TargetMode="External"/><Relationship Id="rId149" Type="http://schemas.openxmlformats.org/officeDocument/2006/relationships/hyperlink" Target="https://www.predictit.org/account/history/6726?contractId=22823" TargetMode="External"/><Relationship Id="rId5" Type="http://schemas.openxmlformats.org/officeDocument/2006/relationships/hyperlink" Target="https://www.predictit.org/account/history/6726?contractId=22826" TargetMode="External"/><Relationship Id="rId95" Type="http://schemas.openxmlformats.org/officeDocument/2006/relationships/hyperlink" Target="https://www.predictit.org/account/history/6726?contractId=22830" TargetMode="External"/><Relationship Id="rId160" Type="http://schemas.openxmlformats.org/officeDocument/2006/relationships/hyperlink" Target="https://www.predictit.org/account/history/6726?contractId=22828" TargetMode="External"/><Relationship Id="rId181" Type="http://schemas.openxmlformats.org/officeDocument/2006/relationships/hyperlink" Target="https://www.predictit.org/account/history/6726?contractId=22823" TargetMode="External"/><Relationship Id="rId22" Type="http://schemas.openxmlformats.org/officeDocument/2006/relationships/hyperlink" Target="https://www.predictit.org/account/history/6726?contractId=22825" TargetMode="External"/><Relationship Id="rId43" Type="http://schemas.openxmlformats.org/officeDocument/2006/relationships/hyperlink" Target="https://www.predictit.org/account/history/6726?contractId=22825" TargetMode="External"/><Relationship Id="rId64" Type="http://schemas.openxmlformats.org/officeDocument/2006/relationships/hyperlink" Target="https://www.predictit.org/account/history/6726?contractId=22825" TargetMode="External"/><Relationship Id="rId118" Type="http://schemas.openxmlformats.org/officeDocument/2006/relationships/hyperlink" Target="https://www.predictit.org/account/history/6726?contractId=22828" TargetMode="External"/><Relationship Id="rId139" Type="http://schemas.openxmlformats.org/officeDocument/2006/relationships/hyperlink" Target="https://www.predictit.org/account/history/6726?contractId=22823" TargetMode="External"/><Relationship Id="rId85" Type="http://schemas.openxmlformats.org/officeDocument/2006/relationships/hyperlink" Target="https://www.predictit.org/account/history/6726?contractId=22824" TargetMode="External"/><Relationship Id="rId150" Type="http://schemas.openxmlformats.org/officeDocument/2006/relationships/hyperlink" Target="https://www.predictit.org/account/history/6726?contractId=22823" TargetMode="External"/><Relationship Id="rId171" Type="http://schemas.openxmlformats.org/officeDocument/2006/relationships/hyperlink" Target="https://www.predictit.org/account/history/6726?contractId=22823" TargetMode="External"/><Relationship Id="rId192" Type="http://schemas.openxmlformats.org/officeDocument/2006/relationships/hyperlink" Target="https://www.predictit.org/account/history/6726?contractId=22823" TargetMode="External"/><Relationship Id="rId12" Type="http://schemas.openxmlformats.org/officeDocument/2006/relationships/hyperlink" Target="https://www.predictit.org/account/history/6726?contractId=22827" TargetMode="External"/><Relationship Id="rId33" Type="http://schemas.openxmlformats.org/officeDocument/2006/relationships/hyperlink" Target="https://www.predictit.org/account/history/6726?contractId=22825" TargetMode="External"/><Relationship Id="rId108" Type="http://schemas.openxmlformats.org/officeDocument/2006/relationships/hyperlink" Target="https://www.predictit.org/account/history/6726?contractId=22828" TargetMode="External"/><Relationship Id="rId129" Type="http://schemas.openxmlformats.org/officeDocument/2006/relationships/hyperlink" Target="https://www.predictit.org/account/history/6726?contractId=22828" TargetMode="External"/><Relationship Id="rId54" Type="http://schemas.openxmlformats.org/officeDocument/2006/relationships/hyperlink" Target="https://www.predictit.org/account/history/6726?contractId=22825" TargetMode="External"/><Relationship Id="rId75" Type="http://schemas.openxmlformats.org/officeDocument/2006/relationships/hyperlink" Target="https://www.predictit.org/account/history/6726?contractId=22824" TargetMode="External"/><Relationship Id="rId96" Type="http://schemas.openxmlformats.org/officeDocument/2006/relationships/hyperlink" Target="https://www.predictit.org/account/history/6726?contractId=22824" TargetMode="External"/><Relationship Id="rId140" Type="http://schemas.openxmlformats.org/officeDocument/2006/relationships/hyperlink" Target="https://www.predictit.org/account/history/6726?contractId=22823" TargetMode="External"/><Relationship Id="rId161" Type="http://schemas.openxmlformats.org/officeDocument/2006/relationships/hyperlink" Target="https://www.predictit.org/account/history/6726?contractId=22823" TargetMode="External"/><Relationship Id="rId182" Type="http://schemas.openxmlformats.org/officeDocument/2006/relationships/hyperlink" Target="https://www.predictit.org/account/history/6726?contractId=22831" TargetMode="External"/><Relationship Id="rId6" Type="http://schemas.openxmlformats.org/officeDocument/2006/relationships/hyperlink" Target="https://www.predictit.org/account/history/6726?contractId=22826" TargetMode="External"/><Relationship Id="rId23" Type="http://schemas.openxmlformats.org/officeDocument/2006/relationships/hyperlink" Target="https://www.predictit.org/account/history/6726?contractId=22825" TargetMode="External"/><Relationship Id="rId119" Type="http://schemas.openxmlformats.org/officeDocument/2006/relationships/hyperlink" Target="https://www.predictit.org/account/history/6726?contractId=22825" TargetMode="External"/><Relationship Id="rId44" Type="http://schemas.openxmlformats.org/officeDocument/2006/relationships/hyperlink" Target="https://www.predictit.org/account/history/6726?contractId=22825" TargetMode="External"/><Relationship Id="rId65" Type="http://schemas.openxmlformats.org/officeDocument/2006/relationships/hyperlink" Target="https://www.predictit.org/account/history/6726?contractId=22825" TargetMode="External"/><Relationship Id="rId86" Type="http://schemas.openxmlformats.org/officeDocument/2006/relationships/hyperlink" Target="https://www.predictit.org/account/history/6726?contractId=22830" TargetMode="External"/><Relationship Id="rId130" Type="http://schemas.openxmlformats.org/officeDocument/2006/relationships/hyperlink" Target="https://www.predictit.org/account/history/6726?contractId=22823" TargetMode="External"/><Relationship Id="rId151" Type="http://schemas.openxmlformats.org/officeDocument/2006/relationships/hyperlink" Target="https://www.predictit.org/account/history/6726?contractId=22823" TargetMode="External"/><Relationship Id="rId172" Type="http://schemas.openxmlformats.org/officeDocument/2006/relationships/hyperlink" Target="https://www.predictit.org/account/history/6726?contractId=22825" TargetMode="External"/><Relationship Id="rId13" Type="http://schemas.openxmlformats.org/officeDocument/2006/relationships/hyperlink" Target="https://www.predictit.org/account/history/6726?contractId=22827" TargetMode="External"/><Relationship Id="rId18" Type="http://schemas.openxmlformats.org/officeDocument/2006/relationships/hyperlink" Target="https://www.predictit.org/account/history/6726?contractId=22827" TargetMode="External"/><Relationship Id="rId39" Type="http://schemas.openxmlformats.org/officeDocument/2006/relationships/hyperlink" Target="https://www.predictit.org/account/history/6726?contractId=22827" TargetMode="External"/><Relationship Id="rId109" Type="http://schemas.openxmlformats.org/officeDocument/2006/relationships/hyperlink" Target="https://www.predictit.org/account/history/6726?contractId=22828" TargetMode="External"/><Relationship Id="rId34" Type="http://schemas.openxmlformats.org/officeDocument/2006/relationships/hyperlink" Target="https://www.predictit.org/account/history/6726?contractId=22827" TargetMode="External"/><Relationship Id="rId50" Type="http://schemas.openxmlformats.org/officeDocument/2006/relationships/hyperlink" Target="https://www.predictit.org/account/history/6726?contractId=22825" TargetMode="External"/><Relationship Id="rId55" Type="http://schemas.openxmlformats.org/officeDocument/2006/relationships/hyperlink" Target="https://www.predictit.org/account/history/6726?contractId=22827" TargetMode="External"/><Relationship Id="rId76" Type="http://schemas.openxmlformats.org/officeDocument/2006/relationships/hyperlink" Target="https://www.predictit.org/account/history/6726?contractId=22830" TargetMode="External"/><Relationship Id="rId97" Type="http://schemas.openxmlformats.org/officeDocument/2006/relationships/hyperlink" Target="https://www.predictit.org/account/history/6726?contractId=22824" TargetMode="External"/><Relationship Id="rId104" Type="http://schemas.openxmlformats.org/officeDocument/2006/relationships/hyperlink" Target="https://www.predictit.org/account/history/6726?contractId=22825" TargetMode="External"/><Relationship Id="rId120" Type="http://schemas.openxmlformats.org/officeDocument/2006/relationships/hyperlink" Target="https://www.predictit.org/account/history/6726?contractId=22825" TargetMode="External"/><Relationship Id="rId125" Type="http://schemas.openxmlformats.org/officeDocument/2006/relationships/hyperlink" Target="https://www.predictit.org/account/history/6726?contractId=22828" TargetMode="External"/><Relationship Id="rId141" Type="http://schemas.openxmlformats.org/officeDocument/2006/relationships/hyperlink" Target="https://www.predictit.org/account/history/6726?contractId=22823" TargetMode="External"/><Relationship Id="rId146" Type="http://schemas.openxmlformats.org/officeDocument/2006/relationships/hyperlink" Target="https://www.predictit.org/account/history/6726?contractId=22830" TargetMode="External"/><Relationship Id="rId167" Type="http://schemas.openxmlformats.org/officeDocument/2006/relationships/hyperlink" Target="https://www.predictit.org/account/history/6726?contractId=22830" TargetMode="External"/><Relationship Id="rId188" Type="http://schemas.openxmlformats.org/officeDocument/2006/relationships/hyperlink" Target="https://www.predictit.org/account/history/6726?contractId=22823" TargetMode="External"/><Relationship Id="rId7" Type="http://schemas.openxmlformats.org/officeDocument/2006/relationships/hyperlink" Target="https://www.predictit.org/account/history/6726?contractId=22827" TargetMode="External"/><Relationship Id="rId71" Type="http://schemas.openxmlformats.org/officeDocument/2006/relationships/hyperlink" Target="https://www.predictit.org/account/history/6726?contractId=22824" TargetMode="External"/><Relationship Id="rId92" Type="http://schemas.openxmlformats.org/officeDocument/2006/relationships/hyperlink" Target="https://www.predictit.org/account/history/6726?contractId=22830" TargetMode="External"/><Relationship Id="rId162" Type="http://schemas.openxmlformats.org/officeDocument/2006/relationships/hyperlink" Target="https://www.predictit.org/account/history/6726?contractId=22823" TargetMode="External"/><Relationship Id="rId183" Type="http://schemas.openxmlformats.org/officeDocument/2006/relationships/hyperlink" Target="https://www.predictit.org/account/history/6726?contractId=22831" TargetMode="External"/><Relationship Id="rId2" Type="http://schemas.openxmlformats.org/officeDocument/2006/relationships/hyperlink" Target="https://www.predictit.org/account/history/6726?contractId=22830" TargetMode="External"/><Relationship Id="rId29" Type="http://schemas.openxmlformats.org/officeDocument/2006/relationships/hyperlink" Target="https://www.predictit.org/account/history/6726?contractId=22825" TargetMode="External"/><Relationship Id="rId24" Type="http://schemas.openxmlformats.org/officeDocument/2006/relationships/hyperlink" Target="https://www.predictit.org/account/history/6726?contractId=22825" TargetMode="External"/><Relationship Id="rId40" Type="http://schemas.openxmlformats.org/officeDocument/2006/relationships/hyperlink" Target="https://www.predictit.org/account/history/6726?contractId=22825" TargetMode="External"/><Relationship Id="rId45" Type="http://schemas.openxmlformats.org/officeDocument/2006/relationships/hyperlink" Target="https://www.predictit.org/account/history/6726?contractId=22825" TargetMode="External"/><Relationship Id="rId66" Type="http://schemas.openxmlformats.org/officeDocument/2006/relationships/hyperlink" Target="https://www.predictit.org/account/history/6726?contractId=22827" TargetMode="External"/><Relationship Id="rId87" Type="http://schemas.openxmlformats.org/officeDocument/2006/relationships/hyperlink" Target="https://www.predictit.org/account/history/6726?contractId=22830" TargetMode="External"/><Relationship Id="rId110" Type="http://schemas.openxmlformats.org/officeDocument/2006/relationships/hyperlink" Target="https://www.predictit.org/account/history/6726?contractId=22825" TargetMode="External"/><Relationship Id="rId115" Type="http://schemas.openxmlformats.org/officeDocument/2006/relationships/hyperlink" Target="https://www.predictit.org/account/history/6726?contractId=22828" TargetMode="External"/><Relationship Id="rId131" Type="http://schemas.openxmlformats.org/officeDocument/2006/relationships/hyperlink" Target="https://www.predictit.org/account/history/6726?contractId=22823" TargetMode="External"/><Relationship Id="rId136" Type="http://schemas.openxmlformats.org/officeDocument/2006/relationships/hyperlink" Target="https://www.predictit.org/account/history/6726?contractId=22825" TargetMode="External"/><Relationship Id="rId157" Type="http://schemas.openxmlformats.org/officeDocument/2006/relationships/hyperlink" Target="https://www.predictit.org/account/history/6726?contractId=22823" TargetMode="External"/><Relationship Id="rId178" Type="http://schemas.openxmlformats.org/officeDocument/2006/relationships/hyperlink" Target="https://www.predictit.org/account/history/6726?contractId=22823" TargetMode="External"/><Relationship Id="rId61" Type="http://schemas.openxmlformats.org/officeDocument/2006/relationships/hyperlink" Target="https://www.predictit.org/account/history/6726?contractId=22825" TargetMode="External"/><Relationship Id="rId82" Type="http://schemas.openxmlformats.org/officeDocument/2006/relationships/hyperlink" Target="https://www.predictit.org/account/history/6726?contractId=22830" TargetMode="External"/><Relationship Id="rId152" Type="http://schemas.openxmlformats.org/officeDocument/2006/relationships/hyperlink" Target="https://www.predictit.org/account/history/6726?contractId=22823" TargetMode="External"/><Relationship Id="rId173" Type="http://schemas.openxmlformats.org/officeDocument/2006/relationships/hyperlink" Target="https://www.predictit.org/account/history/6726?contractId=22823" TargetMode="External"/><Relationship Id="rId19" Type="http://schemas.openxmlformats.org/officeDocument/2006/relationships/hyperlink" Target="https://www.predictit.org/account/history/6726?contractId=22825" TargetMode="External"/><Relationship Id="rId14" Type="http://schemas.openxmlformats.org/officeDocument/2006/relationships/hyperlink" Target="https://www.predictit.org/account/history/6726?contractId=22826" TargetMode="External"/><Relationship Id="rId30" Type="http://schemas.openxmlformats.org/officeDocument/2006/relationships/hyperlink" Target="https://www.predictit.org/account/history/6726?contractId=22825" TargetMode="External"/><Relationship Id="rId35" Type="http://schemas.openxmlformats.org/officeDocument/2006/relationships/hyperlink" Target="https://www.predictit.org/account/history/6726?contractId=22825" TargetMode="External"/><Relationship Id="rId56" Type="http://schemas.openxmlformats.org/officeDocument/2006/relationships/hyperlink" Target="https://www.predictit.org/account/history/6726?contractId=22825" TargetMode="External"/><Relationship Id="rId77" Type="http://schemas.openxmlformats.org/officeDocument/2006/relationships/hyperlink" Target="https://www.predictit.org/account/history/6726?contractId=22830" TargetMode="External"/><Relationship Id="rId100" Type="http://schemas.openxmlformats.org/officeDocument/2006/relationships/hyperlink" Target="https://www.predictit.org/account/history/6726?contractId=22824" TargetMode="External"/><Relationship Id="rId105" Type="http://schemas.openxmlformats.org/officeDocument/2006/relationships/hyperlink" Target="https://www.predictit.org/account/history/6726?contractId=22825" TargetMode="External"/><Relationship Id="rId126" Type="http://schemas.openxmlformats.org/officeDocument/2006/relationships/hyperlink" Target="https://www.predictit.org/account/history/6726?contractId=22828" TargetMode="External"/><Relationship Id="rId147" Type="http://schemas.openxmlformats.org/officeDocument/2006/relationships/hyperlink" Target="https://www.predictit.org/account/history/6726?contractId=22830" TargetMode="External"/><Relationship Id="rId168" Type="http://schemas.openxmlformats.org/officeDocument/2006/relationships/hyperlink" Target="https://www.predictit.org/account/history/6726?contractId=22828" TargetMode="External"/><Relationship Id="rId8" Type="http://schemas.openxmlformats.org/officeDocument/2006/relationships/hyperlink" Target="https://www.predictit.org/account/history/6726?contractId=22827" TargetMode="External"/><Relationship Id="rId51" Type="http://schemas.openxmlformats.org/officeDocument/2006/relationships/hyperlink" Target="https://www.predictit.org/account/history/6726?contractId=22827" TargetMode="External"/><Relationship Id="rId72" Type="http://schemas.openxmlformats.org/officeDocument/2006/relationships/hyperlink" Target="https://www.predictit.org/account/history/6726?contractId=22825" TargetMode="External"/><Relationship Id="rId93" Type="http://schemas.openxmlformats.org/officeDocument/2006/relationships/hyperlink" Target="https://www.predictit.org/account/history/6726?contractId=22825" TargetMode="External"/><Relationship Id="rId98" Type="http://schemas.openxmlformats.org/officeDocument/2006/relationships/hyperlink" Target="https://www.predictit.org/account/history/6726?contractId=22830" TargetMode="External"/><Relationship Id="rId121" Type="http://schemas.openxmlformats.org/officeDocument/2006/relationships/hyperlink" Target="https://www.predictit.org/account/history/6726?contractId=22823" TargetMode="External"/><Relationship Id="rId142" Type="http://schemas.openxmlformats.org/officeDocument/2006/relationships/hyperlink" Target="https://www.predictit.org/account/history/6726?contractId=22825" TargetMode="External"/><Relationship Id="rId163" Type="http://schemas.openxmlformats.org/officeDocument/2006/relationships/hyperlink" Target="https://www.predictit.org/account/history/6726?contractId=22823" TargetMode="External"/><Relationship Id="rId184" Type="http://schemas.openxmlformats.org/officeDocument/2006/relationships/hyperlink" Target="https://www.predictit.org/account/history/6726?contractId=22831" TargetMode="External"/><Relationship Id="rId189" Type="http://schemas.openxmlformats.org/officeDocument/2006/relationships/hyperlink" Target="https://www.predictit.org/account/history/6726?contractId=22823" TargetMode="External"/><Relationship Id="rId3" Type="http://schemas.openxmlformats.org/officeDocument/2006/relationships/hyperlink" Target="https://www.predictit.org/account/history/6726?contractId=22823" TargetMode="External"/><Relationship Id="rId25" Type="http://schemas.openxmlformats.org/officeDocument/2006/relationships/hyperlink" Target="https://www.predictit.org/account/history/6726?contractId=22825" TargetMode="External"/><Relationship Id="rId46" Type="http://schemas.openxmlformats.org/officeDocument/2006/relationships/hyperlink" Target="https://www.predictit.org/account/history/6726?contractId=22825" TargetMode="External"/><Relationship Id="rId67" Type="http://schemas.openxmlformats.org/officeDocument/2006/relationships/hyperlink" Target="https://www.predictit.org/account/history/6726?contractId=22825" TargetMode="External"/><Relationship Id="rId116" Type="http://schemas.openxmlformats.org/officeDocument/2006/relationships/hyperlink" Target="https://www.predictit.org/account/history/6726?contractId=22828" TargetMode="External"/><Relationship Id="rId137" Type="http://schemas.openxmlformats.org/officeDocument/2006/relationships/hyperlink" Target="https://www.predictit.org/account/history/6726?contractId=22824" TargetMode="External"/><Relationship Id="rId158" Type="http://schemas.openxmlformats.org/officeDocument/2006/relationships/hyperlink" Target="https://www.predictit.org/account/history/6726?contractId=22823" TargetMode="External"/><Relationship Id="rId20" Type="http://schemas.openxmlformats.org/officeDocument/2006/relationships/hyperlink" Target="https://www.predictit.org/account/history/6726?contractId=22825" TargetMode="External"/><Relationship Id="rId41" Type="http://schemas.openxmlformats.org/officeDocument/2006/relationships/hyperlink" Target="https://www.predictit.org/account/history/6726?contractId=22825" TargetMode="External"/><Relationship Id="rId62" Type="http://schemas.openxmlformats.org/officeDocument/2006/relationships/hyperlink" Target="https://www.predictit.org/account/history/6726?contractId=22825" TargetMode="External"/><Relationship Id="rId83" Type="http://schemas.openxmlformats.org/officeDocument/2006/relationships/hyperlink" Target="https://www.predictit.org/account/history/6726?contractId=22824" TargetMode="External"/><Relationship Id="rId88" Type="http://schemas.openxmlformats.org/officeDocument/2006/relationships/hyperlink" Target="https://www.predictit.org/account/history/6726?contractId=22828" TargetMode="External"/><Relationship Id="rId111" Type="http://schemas.openxmlformats.org/officeDocument/2006/relationships/hyperlink" Target="https://www.predictit.org/account/history/6726?contractId=22828" TargetMode="External"/><Relationship Id="rId132" Type="http://schemas.openxmlformats.org/officeDocument/2006/relationships/hyperlink" Target="https://www.predictit.org/account/history/6726?contractId=22823" TargetMode="External"/><Relationship Id="rId153" Type="http://schemas.openxmlformats.org/officeDocument/2006/relationships/hyperlink" Target="https://www.predictit.org/account/history/6726?contractId=22823" TargetMode="External"/><Relationship Id="rId174" Type="http://schemas.openxmlformats.org/officeDocument/2006/relationships/hyperlink" Target="https://www.predictit.org/account/history/6726?contractId=22824" TargetMode="External"/><Relationship Id="rId179" Type="http://schemas.openxmlformats.org/officeDocument/2006/relationships/hyperlink" Target="https://www.predictit.org/account/history/6726?contractId=22823" TargetMode="External"/><Relationship Id="rId190" Type="http://schemas.openxmlformats.org/officeDocument/2006/relationships/hyperlink" Target="https://www.predictit.org/account/history/6726?contractId=22823" TargetMode="External"/><Relationship Id="rId15" Type="http://schemas.openxmlformats.org/officeDocument/2006/relationships/hyperlink" Target="https://www.predictit.org/account/history/6726?contractId=22826" TargetMode="External"/><Relationship Id="rId36" Type="http://schemas.openxmlformats.org/officeDocument/2006/relationships/hyperlink" Target="https://www.predictit.org/account/history/6726?contractId=22825" TargetMode="External"/><Relationship Id="rId57" Type="http://schemas.openxmlformats.org/officeDocument/2006/relationships/hyperlink" Target="https://www.predictit.org/account/history/6726?contractId=22825" TargetMode="External"/><Relationship Id="rId106" Type="http://schemas.openxmlformats.org/officeDocument/2006/relationships/hyperlink" Target="https://www.predictit.org/account/history/6726?contractId=22825" TargetMode="External"/><Relationship Id="rId127" Type="http://schemas.openxmlformats.org/officeDocument/2006/relationships/hyperlink" Target="https://www.predictit.org/account/history/6726?contractId=22823" TargetMode="External"/><Relationship Id="rId10" Type="http://schemas.openxmlformats.org/officeDocument/2006/relationships/hyperlink" Target="https://www.predictit.org/account/history/6726?contractId=22827" TargetMode="External"/><Relationship Id="rId31" Type="http://schemas.openxmlformats.org/officeDocument/2006/relationships/hyperlink" Target="https://www.predictit.org/account/history/6726?contractId=22827" TargetMode="External"/><Relationship Id="rId52" Type="http://schemas.openxmlformats.org/officeDocument/2006/relationships/hyperlink" Target="https://www.predictit.org/account/history/6726?contractId=22827" TargetMode="External"/><Relationship Id="rId73" Type="http://schemas.openxmlformats.org/officeDocument/2006/relationships/hyperlink" Target="https://www.predictit.org/account/history/6726?contractId=22824" TargetMode="External"/><Relationship Id="rId78" Type="http://schemas.openxmlformats.org/officeDocument/2006/relationships/hyperlink" Target="https://www.predictit.org/account/history/6726?contractId=22830" TargetMode="External"/><Relationship Id="rId94" Type="http://schemas.openxmlformats.org/officeDocument/2006/relationships/hyperlink" Target="https://www.predictit.org/account/history/6726?contractId=22825" TargetMode="External"/><Relationship Id="rId99" Type="http://schemas.openxmlformats.org/officeDocument/2006/relationships/hyperlink" Target="https://www.predictit.org/account/history/6726?contractId=22824" TargetMode="External"/><Relationship Id="rId101" Type="http://schemas.openxmlformats.org/officeDocument/2006/relationships/hyperlink" Target="https://www.predictit.org/account/history/6726?contractId=22830" TargetMode="External"/><Relationship Id="rId122" Type="http://schemas.openxmlformats.org/officeDocument/2006/relationships/hyperlink" Target="https://www.predictit.org/account/history/6726?contractId=22823" TargetMode="External"/><Relationship Id="rId143" Type="http://schemas.openxmlformats.org/officeDocument/2006/relationships/hyperlink" Target="https://www.predictit.org/account/history/6726?contractId=22824" TargetMode="External"/><Relationship Id="rId148" Type="http://schemas.openxmlformats.org/officeDocument/2006/relationships/hyperlink" Target="https://www.predictit.org/account/history/6726?contractId=22823" TargetMode="External"/><Relationship Id="rId164" Type="http://schemas.openxmlformats.org/officeDocument/2006/relationships/hyperlink" Target="https://www.predictit.org/account/history/6726?contractId=22823" TargetMode="External"/><Relationship Id="rId169" Type="http://schemas.openxmlformats.org/officeDocument/2006/relationships/hyperlink" Target="https://www.predictit.org/account/history/6726?contractId=22823" TargetMode="External"/><Relationship Id="rId185" Type="http://schemas.openxmlformats.org/officeDocument/2006/relationships/hyperlink" Target="https://www.predictit.org/account/history/6726?contractId=22831" TargetMode="External"/><Relationship Id="rId4" Type="http://schemas.openxmlformats.org/officeDocument/2006/relationships/hyperlink" Target="https://www.predictit.org/account/history/6726?contractId=22823" TargetMode="External"/><Relationship Id="rId9" Type="http://schemas.openxmlformats.org/officeDocument/2006/relationships/hyperlink" Target="https://www.predictit.org/account/history/6726?contractId=22826" TargetMode="External"/><Relationship Id="rId180" Type="http://schemas.openxmlformats.org/officeDocument/2006/relationships/hyperlink" Target="https://www.predictit.org/account/history/6726?contractId=22823" TargetMode="External"/><Relationship Id="rId26" Type="http://schemas.openxmlformats.org/officeDocument/2006/relationships/hyperlink" Target="https://www.predictit.org/account/history/6726?contractId=22825" TargetMode="External"/><Relationship Id="rId47" Type="http://schemas.openxmlformats.org/officeDocument/2006/relationships/hyperlink" Target="https://www.predictit.org/account/history/6726?contractId=22825" TargetMode="External"/><Relationship Id="rId68" Type="http://schemas.openxmlformats.org/officeDocument/2006/relationships/hyperlink" Target="https://www.predictit.org/account/history/6726?contractId=22825" TargetMode="External"/><Relationship Id="rId89" Type="http://schemas.openxmlformats.org/officeDocument/2006/relationships/hyperlink" Target="https://www.predictit.org/account/history/6726?contractId=22828" TargetMode="External"/><Relationship Id="rId112" Type="http://schemas.openxmlformats.org/officeDocument/2006/relationships/hyperlink" Target="https://www.predictit.org/account/history/6726?contractId=22828" TargetMode="External"/><Relationship Id="rId133" Type="http://schemas.openxmlformats.org/officeDocument/2006/relationships/hyperlink" Target="https://www.predictit.org/account/history/6726?contractId=22823" TargetMode="External"/><Relationship Id="rId154" Type="http://schemas.openxmlformats.org/officeDocument/2006/relationships/hyperlink" Target="https://www.predictit.org/account/history/6726?contractId=22823" TargetMode="External"/><Relationship Id="rId175" Type="http://schemas.openxmlformats.org/officeDocument/2006/relationships/hyperlink" Target="https://www.predictit.org/account/history/6726?contractId=22823" TargetMode="External"/><Relationship Id="rId16" Type="http://schemas.openxmlformats.org/officeDocument/2006/relationships/hyperlink" Target="https://www.predictit.org/account/history/6726?contractId=22826" TargetMode="External"/><Relationship Id="rId37" Type="http://schemas.openxmlformats.org/officeDocument/2006/relationships/hyperlink" Target="https://www.predictit.org/account/history/6726?contractId=22825" TargetMode="External"/><Relationship Id="rId58" Type="http://schemas.openxmlformats.org/officeDocument/2006/relationships/hyperlink" Target="https://www.predictit.org/account/history/6726?contractId=22825" TargetMode="External"/><Relationship Id="rId79" Type="http://schemas.openxmlformats.org/officeDocument/2006/relationships/hyperlink" Target="https://www.predictit.org/account/history/6726?contractId=22830" TargetMode="External"/><Relationship Id="rId102" Type="http://schemas.openxmlformats.org/officeDocument/2006/relationships/hyperlink" Target="https://www.predictit.org/account/history/6726?contractId=22830" TargetMode="External"/><Relationship Id="rId123" Type="http://schemas.openxmlformats.org/officeDocument/2006/relationships/hyperlink" Target="https://www.predictit.org/account/history/6726?contractId=22823" TargetMode="External"/><Relationship Id="rId144" Type="http://schemas.openxmlformats.org/officeDocument/2006/relationships/hyperlink" Target="https://www.predictit.org/account/history/6726?contractId=22825" TargetMode="External"/><Relationship Id="rId90" Type="http://schemas.openxmlformats.org/officeDocument/2006/relationships/hyperlink" Target="https://www.predictit.org/account/history/6726?contractId=22830" TargetMode="External"/><Relationship Id="rId165" Type="http://schemas.openxmlformats.org/officeDocument/2006/relationships/hyperlink" Target="https://www.predictit.org/account/history/6726?contractId=22823" TargetMode="External"/><Relationship Id="rId186" Type="http://schemas.openxmlformats.org/officeDocument/2006/relationships/hyperlink" Target="https://www.predictit.org/account/history/6726?contractId=22823" TargetMode="External"/><Relationship Id="rId27" Type="http://schemas.openxmlformats.org/officeDocument/2006/relationships/hyperlink" Target="https://www.predictit.org/account/history/6726?contractId=22827" TargetMode="External"/><Relationship Id="rId48" Type="http://schemas.openxmlformats.org/officeDocument/2006/relationships/hyperlink" Target="https://www.predictit.org/account/history/6726?contractId=22825" TargetMode="External"/><Relationship Id="rId69" Type="http://schemas.openxmlformats.org/officeDocument/2006/relationships/hyperlink" Target="https://www.predictit.org/account/history/6726?contractId=22825" TargetMode="External"/><Relationship Id="rId113" Type="http://schemas.openxmlformats.org/officeDocument/2006/relationships/hyperlink" Target="https://www.predictit.org/account/history/6726?contractId=22828" TargetMode="External"/><Relationship Id="rId134" Type="http://schemas.openxmlformats.org/officeDocument/2006/relationships/hyperlink" Target="https://www.predictit.org/account/history/6726?contractId=22823" TargetMode="External"/><Relationship Id="rId80" Type="http://schemas.openxmlformats.org/officeDocument/2006/relationships/hyperlink" Target="https://www.predictit.org/account/history/6726?contractId=22830" TargetMode="External"/><Relationship Id="rId155" Type="http://schemas.openxmlformats.org/officeDocument/2006/relationships/hyperlink" Target="https://www.predictit.org/account/history/6726?contractId=22823" TargetMode="External"/><Relationship Id="rId176" Type="http://schemas.openxmlformats.org/officeDocument/2006/relationships/hyperlink" Target="https://www.predictit.org/account/history/6726?contractId=22823" TargetMode="External"/><Relationship Id="rId17" Type="http://schemas.openxmlformats.org/officeDocument/2006/relationships/hyperlink" Target="https://www.predictit.org/account/history/6726?contractId=22826" TargetMode="External"/><Relationship Id="rId38" Type="http://schemas.openxmlformats.org/officeDocument/2006/relationships/hyperlink" Target="https://www.predictit.org/account/history/6726?contractId=22827" TargetMode="External"/><Relationship Id="rId59" Type="http://schemas.openxmlformats.org/officeDocument/2006/relationships/hyperlink" Target="https://www.predictit.org/account/history/6726?contractId=22825" TargetMode="External"/><Relationship Id="rId103" Type="http://schemas.openxmlformats.org/officeDocument/2006/relationships/hyperlink" Target="https://www.predictit.org/account/history/6726?contractId=22830" TargetMode="External"/><Relationship Id="rId124" Type="http://schemas.openxmlformats.org/officeDocument/2006/relationships/hyperlink" Target="https://www.predictit.org/account/history/6726?contractId=22823" TargetMode="External"/><Relationship Id="rId70" Type="http://schemas.openxmlformats.org/officeDocument/2006/relationships/hyperlink" Target="https://www.predictit.org/account/history/6726?contractId=22824" TargetMode="External"/><Relationship Id="rId91" Type="http://schemas.openxmlformats.org/officeDocument/2006/relationships/hyperlink" Target="https://www.predictit.org/account/history/6726?contractId=22830" TargetMode="External"/><Relationship Id="rId145" Type="http://schemas.openxmlformats.org/officeDocument/2006/relationships/hyperlink" Target="https://www.predictit.org/account/history/6726?contractId=22824" TargetMode="External"/><Relationship Id="rId166" Type="http://schemas.openxmlformats.org/officeDocument/2006/relationships/hyperlink" Target="https://www.predictit.org/account/history/6726?contractId=22830" TargetMode="External"/><Relationship Id="rId187" Type="http://schemas.openxmlformats.org/officeDocument/2006/relationships/hyperlink" Target="https://www.predictit.org/account/history/6726?contractId=22823" TargetMode="External"/><Relationship Id="rId1" Type="http://schemas.openxmlformats.org/officeDocument/2006/relationships/hyperlink" Target="https://www.predictit.org/account/history/6726?contractId=22830" TargetMode="External"/><Relationship Id="rId28" Type="http://schemas.openxmlformats.org/officeDocument/2006/relationships/hyperlink" Target="https://www.predictit.org/account/history/6726?contractId=22827" TargetMode="External"/><Relationship Id="rId49" Type="http://schemas.openxmlformats.org/officeDocument/2006/relationships/hyperlink" Target="https://www.predictit.org/account/history/6726?contractId=22825" TargetMode="External"/><Relationship Id="rId114" Type="http://schemas.openxmlformats.org/officeDocument/2006/relationships/hyperlink" Target="https://www.predictit.org/account/history/6726?contractId=22825" TargetMode="External"/><Relationship Id="rId60" Type="http://schemas.openxmlformats.org/officeDocument/2006/relationships/hyperlink" Target="https://www.predictit.org/account/history/6726?contractId=22825" TargetMode="External"/><Relationship Id="rId81" Type="http://schemas.openxmlformats.org/officeDocument/2006/relationships/hyperlink" Target="https://www.predictit.org/account/history/6726?contractId=22830" TargetMode="External"/><Relationship Id="rId135" Type="http://schemas.openxmlformats.org/officeDocument/2006/relationships/hyperlink" Target="https://www.predictit.org/account/history/6726?contractId=22825" TargetMode="External"/><Relationship Id="rId156" Type="http://schemas.openxmlformats.org/officeDocument/2006/relationships/hyperlink" Target="https://www.predictit.org/account/history/6726?contractId=22823" TargetMode="External"/><Relationship Id="rId177" Type="http://schemas.openxmlformats.org/officeDocument/2006/relationships/hyperlink" Target="https://www.predictit.org/account/history/6726?contractId=228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82B8D-D7F6-A747-8488-25BF34982E82}">
  <sheetPr codeName="Sheet1"/>
  <dimension ref="B2:S15"/>
  <sheetViews>
    <sheetView tabSelected="1" workbookViewId="0">
      <selection activeCell="L5" sqref="L5"/>
    </sheetView>
  </sheetViews>
  <sheetFormatPr baseColWidth="10" defaultRowHeight="16" x14ac:dyDescent="0.2"/>
  <cols>
    <col min="3" max="5" width="11.6640625" customWidth="1"/>
    <col min="6" max="6" width="8.33203125" customWidth="1"/>
    <col min="7" max="9" width="11.6640625" customWidth="1"/>
    <col min="10" max="10" width="8.33203125" customWidth="1"/>
    <col min="11" max="13" width="11.6640625" customWidth="1"/>
    <col min="14" max="14" width="8.33203125" customWidth="1"/>
    <col min="19" max="19" width="11.1640625" bestFit="1" customWidth="1"/>
  </cols>
  <sheetData>
    <row r="2" spans="2:19" x14ac:dyDescent="0.2">
      <c r="B2" s="3"/>
      <c r="C2" s="9" t="str">
        <f>"@realDonaldTrump"</f>
        <v>@realDonaldTrump</v>
      </c>
      <c r="D2" s="9"/>
      <c r="E2" s="9"/>
      <c r="F2" s="12">
        <f>SUM(C4:D15)</f>
        <v>-7459.37</v>
      </c>
      <c r="G2" s="10" t="str">
        <f>"@WhiteHouse"</f>
        <v>@WhiteHouse</v>
      </c>
      <c r="H2" s="10"/>
      <c r="I2" s="10"/>
      <c r="J2" s="13">
        <f>SUM(G4:H15)</f>
        <v>4050.4700000000012</v>
      </c>
      <c r="K2" s="11" t="str">
        <f>"@POTUS"</f>
        <v>@POTUS</v>
      </c>
      <c r="L2" s="11"/>
      <c r="M2" s="11"/>
      <c r="N2" s="14">
        <f>SUM(K4:L15)</f>
        <v>3259.7399999999993</v>
      </c>
      <c r="O2" s="15" t="s">
        <v>4</v>
      </c>
      <c r="P2" s="16">
        <f>SUM(P4:P15)</f>
        <v>-149.15999999999946</v>
      </c>
      <c r="R2" t="s">
        <v>5</v>
      </c>
      <c r="S2" s="2">
        <f>MAX(E4:E16,I4:I16,M4:M16)</f>
        <v>1211.8600000000001</v>
      </c>
    </row>
    <row r="3" spans="2:19" x14ac:dyDescent="0.2">
      <c r="B3" s="4" t="s">
        <v>0</v>
      </c>
      <c r="C3" s="4" t="s">
        <v>3</v>
      </c>
      <c r="D3" s="4" t="s">
        <v>1</v>
      </c>
      <c r="E3" s="4" t="s">
        <v>2</v>
      </c>
      <c r="F3" s="4" t="s">
        <v>7</v>
      </c>
      <c r="G3" s="4" t="s">
        <v>3</v>
      </c>
      <c r="H3" s="4" t="s">
        <v>1</v>
      </c>
      <c r="I3" s="4" t="s">
        <v>2</v>
      </c>
      <c r="J3" s="4" t="s">
        <v>7</v>
      </c>
      <c r="K3" s="4" t="s">
        <v>3</v>
      </c>
      <c r="L3" s="4" t="s">
        <v>1</v>
      </c>
      <c r="M3" s="4"/>
      <c r="N3" s="4" t="s">
        <v>7</v>
      </c>
      <c r="P3" s="17"/>
      <c r="R3" t="s">
        <v>6</v>
      </c>
      <c r="S3" s="2">
        <f>MIN(E4:E17,I4:I17,M4:M17)</f>
        <v>-3247.8399999999997</v>
      </c>
    </row>
    <row r="4" spans="2:19" x14ac:dyDescent="0.2">
      <c r="B4" s="5" t="s">
        <v>8</v>
      </c>
      <c r="C4" s="7"/>
      <c r="D4" s="7"/>
      <c r="E4" s="6"/>
      <c r="F4" s="8"/>
      <c r="G4" s="7"/>
      <c r="H4" s="7"/>
      <c r="I4" s="6"/>
      <c r="J4" s="8"/>
      <c r="K4" s="7"/>
      <c r="L4" s="7"/>
      <c r="M4" s="6"/>
      <c r="N4" s="8"/>
      <c r="P4" s="6"/>
    </row>
    <row r="5" spans="2:19" x14ac:dyDescent="0.2">
      <c r="B5" s="5">
        <v>43978</v>
      </c>
      <c r="C5" s="7">
        <v>-76.11</v>
      </c>
      <c r="D5" s="7">
        <v>-161.97999999999999</v>
      </c>
      <c r="E5" s="6">
        <f t="shared" ref="E5:E6" si="0">C5+D5</f>
        <v>-238.08999999999997</v>
      </c>
      <c r="F5" s="8">
        <f>IF(C5&gt;0, C5/(-D5)/10,-D5/C5/10)</f>
        <v>-0.21282354486926813</v>
      </c>
      <c r="G5" s="7">
        <v>835.95</v>
      </c>
      <c r="H5" s="7">
        <v>-245.03</v>
      </c>
      <c r="I5" s="6">
        <f>G5+H5</f>
        <v>590.92000000000007</v>
      </c>
      <c r="J5" s="8">
        <f>IF(G5&gt;0, G5/(-H5)/10,-H5/G5/10)</f>
        <v>0.3411623066563278</v>
      </c>
      <c r="K5" s="7"/>
      <c r="L5" s="7"/>
      <c r="M5" s="6"/>
      <c r="N5" s="8"/>
      <c r="P5" s="6">
        <f t="shared" ref="P5:P8" si="1">SUM(C5,D5,G5,H5,K5,L5)</f>
        <v>352.83000000000015</v>
      </c>
    </row>
    <row r="6" spans="2:19" x14ac:dyDescent="0.2">
      <c r="B6" s="5">
        <v>43971</v>
      </c>
      <c r="C6" s="7">
        <v>-50.9</v>
      </c>
      <c r="D6" s="7">
        <v>-64.34</v>
      </c>
      <c r="E6" s="6">
        <f t="shared" si="0"/>
        <v>-115.24000000000001</v>
      </c>
      <c r="F6" s="8">
        <f>IF(C6&gt;0, C6/(-D6)/10,-D6/C6/10)</f>
        <v>-0.12640471512770141</v>
      </c>
      <c r="G6" s="7">
        <v>802.63</v>
      </c>
      <c r="H6" s="7">
        <v>-305.62</v>
      </c>
      <c r="I6" s="6">
        <f>G6+H6</f>
        <v>497.01</v>
      </c>
      <c r="J6" s="8">
        <f>IF(G6&gt;0, G6/(-H6)/10,-H6/G6/10)</f>
        <v>0.26262351940318041</v>
      </c>
      <c r="K6" s="7">
        <v>886.52</v>
      </c>
      <c r="L6" s="7">
        <v>-127.4</v>
      </c>
      <c r="M6" s="6">
        <f>K6+L6</f>
        <v>759.12</v>
      </c>
      <c r="N6" s="8">
        <f>IF(K6&gt;0, K6/(-L6)/10,-L6/K6/10)</f>
        <v>0.69585557299843015</v>
      </c>
      <c r="P6" s="6">
        <f t="shared" si="1"/>
        <v>1140.8899999999999</v>
      </c>
    </row>
    <row r="7" spans="2:19" x14ac:dyDescent="0.2">
      <c r="B7" s="5">
        <v>43964</v>
      </c>
      <c r="C7" s="7">
        <v>-2958.32</v>
      </c>
      <c r="D7" s="7">
        <v>-119.26</v>
      </c>
      <c r="E7" s="6">
        <f>C7+D7</f>
        <v>-3077.5800000000004</v>
      </c>
      <c r="F7" s="8">
        <f>IF(C7&gt;0, C7/(-D7)/10,-D7/C7/10)</f>
        <v>-4.0313421130912137E-3</v>
      </c>
      <c r="G7" s="7">
        <v>347.54</v>
      </c>
      <c r="H7" s="7">
        <v>-226.14</v>
      </c>
      <c r="I7" s="6">
        <f>G7+H7</f>
        <v>121.40000000000003</v>
      </c>
      <c r="J7" s="8">
        <f>IF(G7&gt;0, G7/(-H7)/10,-H7/G7/10)</f>
        <v>0.15368355885734503</v>
      </c>
      <c r="K7" s="7">
        <v>20.84</v>
      </c>
      <c r="L7" s="7">
        <v>-138.99</v>
      </c>
      <c r="M7" s="6">
        <f>K7+L7</f>
        <v>-118.15</v>
      </c>
      <c r="N7" s="8">
        <f>IF(K7&gt;0, K7/(-L7)/10,-L7/K7/10)</f>
        <v>1.4993884452118855E-2</v>
      </c>
      <c r="P7" s="6">
        <f t="shared" si="1"/>
        <v>-3074.33</v>
      </c>
    </row>
    <row r="8" spans="2:19" x14ac:dyDescent="0.2">
      <c r="B8" s="5">
        <v>43957</v>
      </c>
      <c r="C8" s="7">
        <v>-3210.95</v>
      </c>
      <c r="D8" s="7">
        <v>-36.89</v>
      </c>
      <c r="E8" s="6">
        <f>C8+D8</f>
        <v>-3247.8399999999997</v>
      </c>
      <c r="F8" s="8">
        <f>IF(C8&gt;0, C8/(-D8)/10,-D8/C8/10)</f>
        <v>-1.1488811722387457E-3</v>
      </c>
      <c r="G8" s="7">
        <v>1348.74</v>
      </c>
      <c r="H8" s="7">
        <v>-136.88</v>
      </c>
      <c r="I8" s="6">
        <f>G8+H8</f>
        <v>1211.8600000000001</v>
      </c>
      <c r="J8" s="8">
        <f>IF(G8&gt;0, G8/(-H8)/10,-H8/G8/10)</f>
        <v>0.9853448275862069</v>
      </c>
      <c r="K8" s="7">
        <v>718.42</v>
      </c>
      <c r="L8" s="7">
        <v>-82.93</v>
      </c>
      <c r="M8" s="6">
        <f>K8+L8</f>
        <v>635.49</v>
      </c>
      <c r="N8" s="8">
        <f>IF(K8&gt;0, K8/(-L8)/10,-L8/K8/10)</f>
        <v>0.86629687688411905</v>
      </c>
      <c r="P8" s="6">
        <f t="shared" si="1"/>
        <v>-1400.4899999999996</v>
      </c>
    </row>
    <row r="9" spans="2:19" x14ac:dyDescent="0.2">
      <c r="B9" s="5">
        <v>43950</v>
      </c>
      <c r="C9" s="7">
        <v>-271.94</v>
      </c>
      <c r="D9" s="7">
        <v>-16.75</v>
      </c>
      <c r="E9" s="6">
        <f>C9+D9</f>
        <v>-288.69</v>
      </c>
      <c r="F9" s="8">
        <f>IF(C9&gt;0, C9/(-D9)/10,-D9/C9/10)</f>
        <v>-6.1594469368242994E-3</v>
      </c>
      <c r="G9" s="7">
        <v>273.47000000000003</v>
      </c>
      <c r="H9" s="7">
        <v>-258.39</v>
      </c>
      <c r="I9" s="6">
        <f>G9+H9</f>
        <v>15.080000000000041</v>
      </c>
      <c r="J9" s="8">
        <f>IF(G9&gt;0, G9/(-H9)/10,-H9/G9/10)</f>
        <v>0.10583613916947252</v>
      </c>
      <c r="K9" s="7">
        <v>765</v>
      </c>
      <c r="L9" s="7">
        <v>-155.59</v>
      </c>
      <c r="M9" s="6">
        <f>K9+L9</f>
        <v>609.41</v>
      </c>
      <c r="N9" s="8">
        <f>IF(K9&gt;0, K9/(-L9)/10,-L9/K9/10)</f>
        <v>0.49167684298476766</v>
      </c>
      <c r="P9" s="6">
        <f>SUM(C9,D9,G9,H9,K9,L9)</f>
        <v>335.80000000000007</v>
      </c>
    </row>
    <row r="10" spans="2:19" x14ac:dyDescent="0.2">
      <c r="B10" s="5">
        <v>43943</v>
      </c>
      <c r="C10" s="7">
        <v>561.91</v>
      </c>
      <c r="D10" s="7">
        <v>-79.150000000000006</v>
      </c>
      <c r="E10" s="6">
        <f t="shared" ref="E10:E12" si="2">C10+D10</f>
        <v>482.76</v>
      </c>
      <c r="F10" s="8">
        <f t="shared" ref="F10:F12" si="3">IF(C10&gt;0, C10/(-D10)/10,-D10/C10/10)</f>
        <v>0.70993051168667076</v>
      </c>
      <c r="G10" s="7">
        <v>1162.8599999999999</v>
      </c>
      <c r="H10" s="7">
        <v>-164</v>
      </c>
      <c r="I10" s="6">
        <f t="shared" ref="I10:I12" si="4">G10+H10</f>
        <v>998.8599999999999</v>
      </c>
      <c r="J10" s="8">
        <f t="shared" ref="J10:J12" si="5">IF(G10&gt;0, G10/(-H10)/10,-H10/G10/10)</f>
        <v>0.70906097560975601</v>
      </c>
      <c r="K10" s="7">
        <v>730.87</v>
      </c>
      <c r="L10" s="7">
        <v>-83.19</v>
      </c>
      <c r="M10" s="6">
        <f t="shared" ref="M10:M12" si="6">K10+L10</f>
        <v>647.68000000000006</v>
      </c>
      <c r="N10" s="8">
        <f t="shared" ref="N10:N12" si="7">IF(K10&gt;0, K10/(-L10)/10,-L10/K10/10)</f>
        <v>0.87855511479745163</v>
      </c>
      <c r="P10" s="6">
        <f t="shared" ref="P10:P15" si="8">SUM(C10,D10,G10,H10,K10,L10)</f>
        <v>2129.2999999999997</v>
      </c>
    </row>
    <row r="11" spans="2:19" x14ac:dyDescent="0.2">
      <c r="B11" s="5">
        <v>43936</v>
      </c>
      <c r="C11" s="7">
        <v>-40.29</v>
      </c>
      <c r="D11" s="7">
        <v>-124.19</v>
      </c>
      <c r="E11" s="6">
        <f t="shared" si="2"/>
        <v>-164.48</v>
      </c>
      <c r="F11" s="8">
        <f t="shared" si="3"/>
        <v>-0.30824025812856787</v>
      </c>
      <c r="G11" s="7">
        <v>259.81</v>
      </c>
      <c r="H11" s="7">
        <v>-114.05</v>
      </c>
      <c r="I11" s="6">
        <f t="shared" si="4"/>
        <v>145.76</v>
      </c>
      <c r="J11" s="8">
        <f t="shared" si="5"/>
        <v>0.22780359491451119</v>
      </c>
      <c r="K11" s="7">
        <v>433.66</v>
      </c>
      <c r="L11" s="7">
        <v>-58.44</v>
      </c>
      <c r="M11" s="6">
        <f t="shared" si="6"/>
        <v>375.22</v>
      </c>
      <c r="N11" s="8">
        <f t="shared" si="7"/>
        <v>0.74206023271731703</v>
      </c>
      <c r="P11" s="6">
        <f t="shared" si="8"/>
        <v>356.50000000000006</v>
      </c>
    </row>
    <row r="12" spans="2:19" x14ac:dyDescent="0.2">
      <c r="B12" s="1">
        <v>43929</v>
      </c>
      <c r="C12" s="7">
        <v>-386.78</v>
      </c>
      <c r="D12" s="7">
        <v>-61.76</v>
      </c>
      <c r="E12" s="6">
        <f t="shared" si="2"/>
        <v>-448.53999999999996</v>
      </c>
      <c r="F12" s="8">
        <f t="shared" si="3"/>
        <v>-1.5967733595325509E-2</v>
      </c>
      <c r="G12" s="7">
        <v>565.23</v>
      </c>
      <c r="H12" s="7">
        <v>-62.08</v>
      </c>
      <c r="I12" s="6">
        <f t="shared" si="4"/>
        <v>503.15000000000003</v>
      </c>
      <c r="J12" s="8">
        <f t="shared" si="5"/>
        <v>0.91048646907216502</v>
      </c>
      <c r="K12" s="7">
        <v>-108.27</v>
      </c>
      <c r="L12" s="7">
        <v>-69.430000000000007</v>
      </c>
      <c r="M12" s="6">
        <f t="shared" si="6"/>
        <v>-177.7</v>
      </c>
      <c r="N12" s="8">
        <f t="shared" si="7"/>
        <v>-6.412672023644593E-2</v>
      </c>
      <c r="P12" s="6">
        <f t="shared" si="8"/>
        <v>-123.08999999999995</v>
      </c>
    </row>
    <row r="13" spans="2:19" x14ac:dyDescent="0.2">
      <c r="B13" s="1">
        <v>43922</v>
      </c>
      <c r="C13" s="7">
        <v>-884.04</v>
      </c>
      <c r="D13" s="7">
        <v>-6.94</v>
      </c>
      <c r="E13" s="6">
        <f>C13+D13</f>
        <v>-890.98</v>
      </c>
      <c r="F13" s="8">
        <f>IF(C13&gt;0, C13/(-D13)/10,-D13/C13/10)</f>
        <v>-7.8503235147730881E-4</v>
      </c>
      <c r="G13" s="7">
        <v>-72.22</v>
      </c>
      <c r="H13" s="7">
        <v>-5.78</v>
      </c>
      <c r="I13" s="6">
        <f>G13+H13</f>
        <v>-78</v>
      </c>
      <c r="J13" s="8">
        <f>IF(G13&gt;0, G13/(-H13)/10,-H13/G13/10)</f>
        <v>-8.0033231791747442E-3</v>
      </c>
      <c r="K13" s="7">
        <v>81.900000000000006</v>
      </c>
      <c r="L13" s="7">
        <v>-28.63</v>
      </c>
      <c r="M13" s="6">
        <f>K13+L13</f>
        <v>53.27000000000001</v>
      </c>
      <c r="N13" s="8">
        <f>IF(K13&gt;0, K13/(-L13)/10,-L13/K13/10)</f>
        <v>0.28606356968215163</v>
      </c>
      <c r="P13" s="6">
        <f t="shared" si="8"/>
        <v>-915.71</v>
      </c>
    </row>
    <row r="14" spans="2:19" x14ac:dyDescent="0.2">
      <c r="B14" s="1">
        <v>43915</v>
      </c>
      <c r="C14" s="7">
        <v>482.79</v>
      </c>
      <c r="D14" s="7">
        <v>-50.51</v>
      </c>
      <c r="E14" s="6">
        <f t="shared" ref="E14:E15" si="9">C14+D14</f>
        <v>432.28000000000003</v>
      </c>
      <c r="F14" s="8">
        <f t="shared" ref="F14:F15" si="10">IF(C14&gt;0, C14/(-D14)/10,-D14/C14/10)</f>
        <v>0.95583052860819639</v>
      </c>
      <c r="G14" s="7">
        <v>16.170000000000002</v>
      </c>
      <c r="H14" s="7">
        <v>-69.290000000000006</v>
      </c>
      <c r="I14" s="6">
        <f t="shared" ref="I14:I15" si="11">G14+H14</f>
        <v>-53.120000000000005</v>
      </c>
      <c r="J14" s="8">
        <f t="shared" ref="J14:J15" si="12">IF(G14&gt;0, G14/(-H14)/10,-H14/G14/10)</f>
        <v>2.3336700822629529E-2</v>
      </c>
      <c r="K14" s="7">
        <v>376.1</v>
      </c>
      <c r="L14" s="7">
        <v>-61.05</v>
      </c>
      <c r="M14" s="6">
        <f t="shared" ref="M14:M15" si="13">K14+L14</f>
        <v>315.05</v>
      </c>
      <c r="N14" s="8">
        <f t="shared" ref="N14:N15" si="14">IF(K14&gt;0, K14/(-L14)/10,-L14/K14/10)</f>
        <v>0.61605241605241612</v>
      </c>
      <c r="P14" s="6">
        <f t="shared" si="8"/>
        <v>694.21</v>
      </c>
    </row>
    <row r="15" spans="2:19" x14ac:dyDescent="0.2">
      <c r="B15" s="1">
        <v>43908</v>
      </c>
      <c r="C15" s="7">
        <v>112.95</v>
      </c>
      <c r="D15" s="7">
        <v>-15.92</v>
      </c>
      <c r="E15" s="6">
        <f t="shared" si="9"/>
        <v>97.03</v>
      </c>
      <c r="F15" s="8">
        <f t="shared" si="10"/>
        <v>0.70948492462311563</v>
      </c>
      <c r="G15" s="7">
        <v>149.5</v>
      </c>
      <c r="H15" s="7">
        <v>-51.95</v>
      </c>
      <c r="I15" s="6">
        <f t="shared" si="11"/>
        <v>97.55</v>
      </c>
      <c r="J15" s="8">
        <f t="shared" si="12"/>
        <v>0.287776708373436</v>
      </c>
      <c r="K15" s="7">
        <v>178.77</v>
      </c>
      <c r="L15" s="7">
        <v>-18.420000000000002</v>
      </c>
      <c r="M15" s="6">
        <f t="shared" si="13"/>
        <v>160.35000000000002</v>
      </c>
      <c r="N15" s="8">
        <f t="shared" si="14"/>
        <v>0.9705211726384364</v>
      </c>
      <c r="P15" s="6">
        <f t="shared" si="8"/>
        <v>354.93</v>
      </c>
    </row>
  </sheetData>
  <conditionalFormatting sqref="P4:P15">
    <cfRule type="colorScale" priority="13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E10:E15">
    <cfRule type="colorScale" priority="12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I10:I15">
    <cfRule type="colorScale" priority="11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M10:M15">
    <cfRule type="colorScale" priority="10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E4 E9">
    <cfRule type="colorScale" priority="9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I4 I9">
    <cfRule type="colorScale" priority="8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M4:M5 M9">
    <cfRule type="colorScale" priority="7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E5:E7">
    <cfRule type="colorScale" priority="6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I5:I7">
    <cfRule type="colorScale" priority="5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M6:M7">
    <cfRule type="colorScale" priority="4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E8">
    <cfRule type="colorScale" priority="3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I8">
    <cfRule type="colorScale" priority="2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conditionalFormatting sqref="M8">
    <cfRule type="colorScale" priority="1">
      <colorScale>
        <cfvo type="formula" val="$S$3"/>
        <cfvo type="num" val="0"/>
        <cfvo type="formula" val="$S$2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howDetails">
                <anchor moveWithCells="1" sizeWithCells="1">
                  <from>
                    <xdr:col>17</xdr:col>
                    <xdr:colOff>12700</xdr:colOff>
                    <xdr:row>3</xdr:row>
                    <xdr:rowOff>139700</xdr:rowOff>
                  </from>
                  <to>
                    <xdr:col>18</xdr:col>
                    <xdr:colOff>711200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ideDetails">
                <anchor moveWithCells="1" sizeWithCells="1">
                  <from>
                    <xdr:col>17</xdr:col>
                    <xdr:colOff>12700</xdr:colOff>
                    <xdr:row>10</xdr:row>
                    <xdr:rowOff>127000</xdr:rowOff>
                  </from>
                  <to>
                    <xdr:col>18</xdr:col>
                    <xdr:colOff>711200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586E-59EF-3B42-9A34-E1D6900E92FC}">
  <dimension ref="A1:A1202"/>
  <sheetViews>
    <sheetView workbookViewId="0">
      <selection activeCell="D1195" sqref="D1195"/>
    </sheetView>
  </sheetViews>
  <sheetFormatPr baseColWidth="10" defaultRowHeight="16" x14ac:dyDescent="0.2"/>
  <sheetData>
    <row r="1" spans="1:1" x14ac:dyDescent="0.2">
      <c r="A1" s="18" t="s">
        <v>9</v>
      </c>
    </row>
    <row r="2" spans="1:1" x14ac:dyDescent="0.2">
      <c r="A2" s="18" t="s">
        <v>10</v>
      </c>
    </row>
    <row r="3" spans="1:1" x14ac:dyDescent="0.2">
      <c r="A3" s="18" t="s">
        <v>11</v>
      </c>
    </row>
    <row r="4" spans="1:1" x14ac:dyDescent="0.2">
      <c r="A4" s="18" t="s">
        <v>12</v>
      </c>
    </row>
    <row r="5" spans="1:1" x14ac:dyDescent="0.2">
      <c r="A5" s="18" t="s">
        <v>13</v>
      </c>
    </row>
    <row r="6" spans="1:1" x14ac:dyDescent="0.2">
      <c r="A6" s="20" t="s">
        <v>14</v>
      </c>
    </row>
    <row r="7" spans="1:1" x14ac:dyDescent="0.2">
      <c r="A7" s="21">
        <v>40.4</v>
      </c>
    </row>
    <row r="8" spans="1:1" x14ac:dyDescent="0.2">
      <c r="A8" s="21">
        <v>-4.04</v>
      </c>
    </row>
    <row r="9" spans="1:1" x14ac:dyDescent="0.2">
      <c r="A9" s="21">
        <v>159.58000000000001</v>
      </c>
    </row>
    <row r="10" spans="1:1" x14ac:dyDescent="0.2">
      <c r="A10" s="22">
        <v>195.94</v>
      </c>
    </row>
    <row r="11" spans="1:1" x14ac:dyDescent="0.2">
      <c r="A11" s="23" t="s">
        <v>15</v>
      </c>
    </row>
    <row r="12" spans="1:1" x14ac:dyDescent="0.2">
      <c r="A12" s="23" t="s">
        <v>16</v>
      </c>
    </row>
    <row r="13" spans="1:1" x14ac:dyDescent="0.2">
      <c r="A13" s="20" t="s">
        <v>14</v>
      </c>
    </row>
    <row r="14" spans="1:1" x14ac:dyDescent="0.2">
      <c r="A14" s="21">
        <v>302.16000000000003</v>
      </c>
    </row>
    <row r="15" spans="1:1" x14ac:dyDescent="0.2">
      <c r="A15" s="21">
        <v>-30.22</v>
      </c>
    </row>
    <row r="16" spans="1:1" x14ac:dyDescent="0.2">
      <c r="A16" s="21">
        <v>689.82</v>
      </c>
    </row>
    <row r="17" spans="1:1" x14ac:dyDescent="0.2">
      <c r="A17" s="22">
        <v>961.76</v>
      </c>
    </row>
    <row r="18" spans="1:1" x14ac:dyDescent="0.2">
      <c r="A18" s="23" t="s">
        <v>17</v>
      </c>
    </row>
    <row r="19" spans="1:1" x14ac:dyDescent="0.2">
      <c r="A19" s="23" t="s">
        <v>16</v>
      </c>
    </row>
    <row r="20" spans="1:1" x14ac:dyDescent="0.2">
      <c r="A20" s="20" t="s">
        <v>18</v>
      </c>
    </row>
    <row r="21" spans="1:1" x14ac:dyDescent="0.2">
      <c r="A21" s="21">
        <v>0.23</v>
      </c>
    </row>
    <row r="22" spans="1:1" x14ac:dyDescent="0.2">
      <c r="A22" s="21">
        <v>-0.02</v>
      </c>
    </row>
    <row r="23" spans="1:1" x14ac:dyDescent="0.2">
      <c r="A23" s="21">
        <v>-0.22</v>
      </c>
    </row>
    <row r="24" spans="1:1" x14ac:dyDescent="0.2">
      <c r="A24" s="22">
        <v>-0.01</v>
      </c>
    </row>
    <row r="25" spans="1:1" x14ac:dyDescent="0.2">
      <c r="A25" s="23" t="s">
        <v>19</v>
      </c>
    </row>
    <row r="26" spans="1:1" x14ac:dyDescent="0.2">
      <c r="A26" s="23" t="s">
        <v>16</v>
      </c>
    </row>
    <row r="27" spans="1:1" x14ac:dyDescent="0.2">
      <c r="A27" s="20" t="s">
        <v>18</v>
      </c>
    </row>
    <row r="28" spans="1:1" x14ac:dyDescent="0.2">
      <c r="A28" s="21">
        <v>130.19</v>
      </c>
    </row>
    <row r="29" spans="1:1" x14ac:dyDescent="0.2">
      <c r="A29" s="21">
        <v>-13.02</v>
      </c>
    </row>
    <row r="30" spans="1:1" x14ac:dyDescent="0.2">
      <c r="A30" s="21">
        <v>-123.82</v>
      </c>
    </row>
    <row r="31" spans="1:1" x14ac:dyDescent="0.2">
      <c r="A31" s="22">
        <v>-6.65</v>
      </c>
    </row>
    <row r="32" spans="1:1" x14ac:dyDescent="0.2">
      <c r="A32" s="23" t="s">
        <v>20</v>
      </c>
    </row>
    <row r="33" spans="1:1" x14ac:dyDescent="0.2">
      <c r="A33" s="23" t="s">
        <v>16</v>
      </c>
    </row>
    <row r="34" spans="1:1" x14ac:dyDescent="0.2">
      <c r="A34" s="20" t="s">
        <v>21</v>
      </c>
    </row>
    <row r="35" spans="1:1" x14ac:dyDescent="0.2">
      <c r="A35" s="21">
        <v>-0.15</v>
      </c>
    </row>
    <row r="36" spans="1:1" x14ac:dyDescent="0.2">
      <c r="A36" s="21">
        <v>0.85</v>
      </c>
    </row>
    <row r="37" spans="1:1" x14ac:dyDescent="0.2">
      <c r="A37" s="22">
        <v>0.7</v>
      </c>
    </row>
    <row r="38" spans="1:1" x14ac:dyDescent="0.2">
      <c r="A38" s="23" t="s">
        <v>22</v>
      </c>
    </row>
    <row r="39" spans="1:1" x14ac:dyDescent="0.2">
      <c r="A39" s="23" t="s">
        <v>23</v>
      </c>
    </row>
    <row r="40" spans="1:1" x14ac:dyDescent="0.2">
      <c r="A40" s="20" t="s">
        <v>21</v>
      </c>
    </row>
    <row r="41" spans="1:1" x14ac:dyDescent="0.2">
      <c r="A41" s="21">
        <v>-30.15</v>
      </c>
    </row>
    <row r="42" spans="1:1" x14ac:dyDescent="0.2">
      <c r="A42" s="21">
        <v>170.85</v>
      </c>
    </row>
    <row r="43" spans="1:1" x14ac:dyDescent="0.2">
      <c r="A43" s="22">
        <v>140.69999999999999</v>
      </c>
    </row>
    <row r="44" spans="1:1" x14ac:dyDescent="0.2">
      <c r="A44" s="23" t="s">
        <v>24</v>
      </c>
    </row>
    <row r="45" spans="1:1" x14ac:dyDescent="0.2">
      <c r="A45" s="23" t="s">
        <v>23</v>
      </c>
    </row>
    <row r="46" spans="1:1" x14ac:dyDescent="0.2">
      <c r="A46" s="20" t="s">
        <v>25</v>
      </c>
    </row>
    <row r="47" spans="1:1" x14ac:dyDescent="0.2">
      <c r="A47" s="21">
        <v>-2</v>
      </c>
    </row>
    <row r="48" spans="1:1" x14ac:dyDescent="0.2">
      <c r="A48" s="21">
        <v>-4.95</v>
      </c>
    </row>
    <row r="49" spans="1:1" x14ac:dyDescent="0.2">
      <c r="A49" s="22">
        <v>-6.95</v>
      </c>
    </row>
    <row r="50" spans="1:1" x14ac:dyDescent="0.2">
      <c r="A50" s="23" t="s">
        <v>26</v>
      </c>
    </row>
    <row r="51" spans="1:1" x14ac:dyDescent="0.2">
      <c r="A51" s="23" t="s">
        <v>23</v>
      </c>
    </row>
    <row r="52" spans="1:1" x14ac:dyDescent="0.2">
      <c r="A52" s="20" t="s">
        <v>25</v>
      </c>
    </row>
    <row r="53" spans="1:1" x14ac:dyDescent="0.2">
      <c r="A53" s="21">
        <v>-16</v>
      </c>
    </row>
    <row r="54" spans="1:1" x14ac:dyDescent="0.2">
      <c r="A54" s="21">
        <v>-39.6</v>
      </c>
    </row>
    <row r="55" spans="1:1" x14ac:dyDescent="0.2">
      <c r="A55" s="22">
        <v>-55.6</v>
      </c>
    </row>
    <row r="56" spans="1:1" x14ac:dyDescent="0.2">
      <c r="A56" s="23" t="s">
        <v>27</v>
      </c>
    </row>
    <row r="57" spans="1:1" x14ac:dyDescent="0.2">
      <c r="A57" s="23" t="s">
        <v>23</v>
      </c>
    </row>
    <row r="58" spans="1:1" x14ac:dyDescent="0.2">
      <c r="A58" s="20" t="s">
        <v>21</v>
      </c>
    </row>
    <row r="59" spans="1:1" x14ac:dyDescent="0.2">
      <c r="A59" s="19" t="s">
        <v>28</v>
      </c>
    </row>
    <row r="60" spans="1:1" x14ac:dyDescent="0.2">
      <c r="A60" s="21">
        <v>-171.7</v>
      </c>
    </row>
    <row r="61" spans="1:1" x14ac:dyDescent="0.2">
      <c r="A61" s="22">
        <v>-171.7</v>
      </c>
    </row>
    <row r="62" spans="1:1" x14ac:dyDescent="0.2">
      <c r="A62" s="23" t="s">
        <v>29</v>
      </c>
    </row>
    <row r="63" spans="1:1" x14ac:dyDescent="0.2">
      <c r="A63" s="23" t="s">
        <v>30</v>
      </c>
    </row>
    <row r="64" spans="1:1" x14ac:dyDescent="0.2">
      <c r="A64" s="20" t="s">
        <v>25</v>
      </c>
    </row>
    <row r="65" spans="1:1" x14ac:dyDescent="0.2">
      <c r="A65" s="19" t="s">
        <v>28</v>
      </c>
    </row>
    <row r="66" spans="1:1" x14ac:dyDescent="0.2">
      <c r="A66" s="21">
        <v>44.55</v>
      </c>
    </row>
    <row r="67" spans="1:1" x14ac:dyDescent="0.2">
      <c r="A67" s="22">
        <v>44.55</v>
      </c>
    </row>
    <row r="68" spans="1:1" x14ac:dyDescent="0.2">
      <c r="A68" s="23" t="s">
        <v>31</v>
      </c>
    </row>
    <row r="69" spans="1:1" x14ac:dyDescent="0.2">
      <c r="A69" s="23" t="s">
        <v>32</v>
      </c>
    </row>
    <row r="70" spans="1:1" x14ac:dyDescent="0.2">
      <c r="A70" s="20" t="s">
        <v>25</v>
      </c>
    </row>
    <row r="71" spans="1:1" x14ac:dyDescent="0.2">
      <c r="A71" s="21">
        <v>-0.02</v>
      </c>
    </row>
    <row r="72" spans="1:1" x14ac:dyDescent="0.2">
      <c r="A72" s="21">
        <v>0.78</v>
      </c>
    </row>
    <row r="73" spans="1:1" x14ac:dyDescent="0.2">
      <c r="A73" s="22">
        <v>0.76</v>
      </c>
    </row>
    <row r="74" spans="1:1" x14ac:dyDescent="0.2">
      <c r="A74" s="23" t="s">
        <v>33</v>
      </c>
    </row>
    <row r="75" spans="1:1" x14ac:dyDescent="0.2">
      <c r="A75" s="23" t="s">
        <v>34</v>
      </c>
    </row>
    <row r="76" spans="1:1" x14ac:dyDescent="0.2">
      <c r="A76" s="20" t="s">
        <v>25</v>
      </c>
    </row>
    <row r="77" spans="1:1" x14ac:dyDescent="0.2">
      <c r="A77" s="21">
        <v>-0.72</v>
      </c>
    </row>
    <row r="78" spans="1:1" x14ac:dyDescent="0.2">
      <c r="A78" s="21">
        <v>9.36</v>
      </c>
    </row>
    <row r="79" spans="1:1" x14ac:dyDescent="0.2">
      <c r="A79" s="22">
        <v>8.64</v>
      </c>
    </row>
    <row r="80" spans="1:1" x14ac:dyDescent="0.2">
      <c r="A80" s="23" t="s">
        <v>35</v>
      </c>
    </row>
    <row r="81" spans="1:1" x14ac:dyDescent="0.2">
      <c r="A81" s="23" t="s">
        <v>34</v>
      </c>
    </row>
    <row r="82" spans="1:1" x14ac:dyDescent="0.2">
      <c r="A82" s="20" t="s">
        <v>25</v>
      </c>
    </row>
    <row r="83" spans="1:1" x14ac:dyDescent="0.2">
      <c r="A83" s="21">
        <v>-1.48</v>
      </c>
    </row>
    <row r="84" spans="1:1" x14ac:dyDescent="0.2">
      <c r="A84" s="21">
        <v>28.86</v>
      </c>
    </row>
    <row r="85" spans="1:1" x14ac:dyDescent="0.2">
      <c r="A85" s="22">
        <v>27.38</v>
      </c>
    </row>
    <row r="86" spans="1:1" x14ac:dyDescent="0.2">
      <c r="A86" s="23" t="s">
        <v>36</v>
      </c>
    </row>
    <row r="87" spans="1:1" x14ac:dyDescent="0.2">
      <c r="A87" s="23" t="s">
        <v>34</v>
      </c>
    </row>
    <row r="88" spans="1:1" x14ac:dyDescent="0.2">
      <c r="A88" s="20" t="s">
        <v>21</v>
      </c>
    </row>
    <row r="89" spans="1:1" x14ac:dyDescent="0.2">
      <c r="A89" s="21">
        <v>0</v>
      </c>
    </row>
    <row r="90" spans="1:1" x14ac:dyDescent="0.2">
      <c r="A90" s="21">
        <v>-13.73</v>
      </c>
    </row>
    <row r="91" spans="1:1" x14ac:dyDescent="0.2">
      <c r="A91" s="22">
        <v>-13.73</v>
      </c>
    </row>
    <row r="92" spans="1:1" x14ac:dyDescent="0.2">
      <c r="A92" s="23" t="s">
        <v>37</v>
      </c>
    </row>
    <row r="93" spans="1:1" x14ac:dyDescent="0.2">
      <c r="A93" s="23" t="s">
        <v>34</v>
      </c>
    </row>
    <row r="94" spans="1:1" x14ac:dyDescent="0.2">
      <c r="A94" s="20" t="s">
        <v>21</v>
      </c>
    </row>
    <row r="95" spans="1:1" x14ac:dyDescent="0.2">
      <c r="A95" s="21">
        <v>0</v>
      </c>
    </row>
    <row r="96" spans="1:1" x14ac:dyDescent="0.2">
      <c r="A96" s="21">
        <v>-13.73</v>
      </c>
    </row>
    <row r="97" spans="1:1" x14ac:dyDescent="0.2">
      <c r="A97" s="22">
        <v>-13.73</v>
      </c>
    </row>
    <row r="98" spans="1:1" x14ac:dyDescent="0.2">
      <c r="A98" s="23" t="s">
        <v>37</v>
      </c>
    </row>
    <row r="99" spans="1:1" x14ac:dyDescent="0.2">
      <c r="A99" s="23" t="s">
        <v>34</v>
      </c>
    </row>
    <row r="100" spans="1:1" x14ac:dyDescent="0.2">
      <c r="A100" s="20" t="s">
        <v>21</v>
      </c>
    </row>
    <row r="101" spans="1:1" x14ac:dyDescent="0.2">
      <c r="A101" s="21">
        <v>0.5</v>
      </c>
    </row>
    <row r="102" spans="1:1" x14ac:dyDescent="0.2">
      <c r="A102" s="21">
        <v>-0.05</v>
      </c>
    </row>
    <row r="103" spans="1:1" x14ac:dyDescent="0.2">
      <c r="A103" s="21">
        <v>-27.45</v>
      </c>
    </row>
    <row r="104" spans="1:1" x14ac:dyDescent="0.2">
      <c r="A104" s="22">
        <v>-27</v>
      </c>
    </row>
    <row r="105" spans="1:1" x14ac:dyDescent="0.2">
      <c r="A105" s="23" t="s">
        <v>38</v>
      </c>
    </row>
    <row r="106" spans="1:1" x14ac:dyDescent="0.2">
      <c r="A106" s="23" t="s">
        <v>34</v>
      </c>
    </row>
    <row r="107" spans="1:1" x14ac:dyDescent="0.2">
      <c r="A107" s="20" t="s">
        <v>21</v>
      </c>
    </row>
    <row r="108" spans="1:1" x14ac:dyDescent="0.2">
      <c r="A108" s="19" t="s">
        <v>28</v>
      </c>
    </row>
    <row r="109" spans="1:1" x14ac:dyDescent="0.2">
      <c r="A109" s="21">
        <v>54.9</v>
      </c>
    </row>
    <row r="110" spans="1:1" x14ac:dyDescent="0.2">
      <c r="A110" s="22">
        <v>54.9</v>
      </c>
    </row>
    <row r="111" spans="1:1" x14ac:dyDescent="0.2">
      <c r="A111" s="23" t="s">
        <v>39</v>
      </c>
    </row>
    <row r="112" spans="1:1" x14ac:dyDescent="0.2">
      <c r="A112" s="23" t="s">
        <v>40</v>
      </c>
    </row>
    <row r="113" spans="1:1" x14ac:dyDescent="0.2">
      <c r="A113" s="20" t="s">
        <v>25</v>
      </c>
    </row>
    <row r="114" spans="1:1" x14ac:dyDescent="0.2">
      <c r="A114" s="19" t="s">
        <v>28</v>
      </c>
    </row>
    <row r="115" spans="1:1" x14ac:dyDescent="0.2">
      <c r="A115" s="21">
        <v>-39</v>
      </c>
    </row>
    <row r="116" spans="1:1" x14ac:dyDescent="0.2">
      <c r="A116" s="22">
        <v>-39</v>
      </c>
    </row>
    <row r="117" spans="1:1" x14ac:dyDescent="0.2">
      <c r="A117" s="23" t="s">
        <v>39</v>
      </c>
    </row>
    <row r="118" spans="1:1" x14ac:dyDescent="0.2">
      <c r="A118" s="23" t="s">
        <v>40</v>
      </c>
    </row>
    <row r="119" spans="1:1" x14ac:dyDescent="0.2">
      <c r="A119" s="20" t="s">
        <v>41</v>
      </c>
    </row>
    <row r="120" spans="1:1" x14ac:dyDescent="0.2">
      <c r="A120" s="21">
        <v>56.2</v>
      </c>
    </row>
    <row r="121" spans="1:1" x14ac:dyDescent="0.2">
      <c r="A121" s="21">
        <v>-5.62</v>
      </c>
    </row>
    <row r="122" spans="1:1" x14ac:dyDescent="0.2">
      <c r="A122" s="21">
        <v>-53.11</v>
      </c>
    </row>
    <row r="123" spans="1:1" x14ac:dyDescent="0.2">
      <c r="A123" s="22">
        <v>-2.5299999999999998</v>
      </c>
    </row>
    <row r="124" spans="1:1" x14ac:dyDescent="0.2">
      <c r="A124" s="23" t="s">
        <v>42</v>
      </c>
    </row>
    <row r="125" spans="1:1" x14ac:dyDescent="0.2">
      <c r="A125" s="23" t="s">
        <v>43</v>
      </c>
    </row>
    <row r="126" spans="1:1" x14ac:dyDescent="0.2">
      <c r="A126" s="20" t="s">
        <v>41</v>
      </c>
    </row>
    <row r="127" spans="1:1" x14ac:dyDescent="0.2">
      <c r="A127" s="21">
        <v>117.94</v>
      </c>
    </row>
    <row r="128" spans="1:1" x14ac:dyDescent="0.2">
      <c r="A128" s="21">
        <v>-11.79</v>
      </c>
    </row>
    <row r="129" spans="1:1" x14ac:dyDescent="0.2">
      <c r="A129" s="21">
        <v>-112.64</v>
      </c>
    </row>
    <row r="130" spans="1:1" x14ac:dyDescent="0.2">
      <c r="A130" s="22">
        <v>-6.5</v>
      </c>
    </row>
    <row r="131" spans="1:1" x14ac:dyDescent="0.2">
      <c r="A131" s="23" t="s">
        <v>44</v>
      </c>
    </row>
    <row r="132" spans="1:1" x14ac:dyDescent="0.2">
      <c r="A132" s="23" t="s">
        <v>43</v>
      </c>
    </row>
    <row r="133" spans="1:1" x14ac:dyDescent="0.2">
      <c r="A133" s="20" t="s">
        <v>41</v>
      </c>
    </row>
    <row r="134" spans="1:1" x14ac:dyDescent="0.2">
      <c r="A134" s="19" t="s">
        <v>28</v>
      </c>
    </row>
    <row r="135" spans="1:1" x14ac:dyDescent="0.2">
      <c r="A135" s="21">
        <v>53.11</v>
      </c>
    </row>
    <row r="136" spans="1:1" x14ac:dyDescent="0.2">
      <c r="A136" s="22">
        <v>53.11</v>
      </c>
    </row>
    <row r="137" spans="1:1" x14ac:dyDescent="0.2">
      <c r="A137" s="23" t="s">
        <v>45</v>
      </c>
    </row>
    <row r="138" spans="1:1" x14ac:dyDescent="0.2">
      <c r="A138" s="23" t="s">
        <v>46</v>
      </c>
    </row>
    <row r="139" spans="1:1" x14ac:dyDescent="0.2">
      <c r="A139" s="20" t="s">
        <v>41</v>
      </c>
    </row>
    <row r="140" spans="1:1" x14ac:dyDescent="0.2">
      <c r="A140" s="19" t="s">
        <v>28</v>
      </c>
    </row>
    <row r="141" spans="1:1" x14ac:dyDescent="0.2">
      <c r="A141" s="21">
        <v>3.96</v>
      </c>
    </row>
    <row r="142" spans="1:1" x14ac:dyDescent="0.2">
      <c r="A142" s="22">
        <v>3.96</v>
      </c>
    </row>
    <row r="143" spans="1:1" x14ac:dyDescent="0.2">
      <c r="A143" s="23" t="s">
        <v>47</v>
      </c>
    </row>
    <row r="144" spans="1:1" x14ac:dyDescent="0.2">
      <c r="A144" s="23" t="s">
        <v>46</v>
      </c>
    </row>
    <row r="145" spans="1:1" x14ac:dyDescent="0.2">
      <c r="A145" s="20" t="s">
        <v>41</v>
      </c>
    </row>
    <row r="146" spans="1:1" x14ac:dyDescent="0.2">
      <c r="A146" s="19" t="s">
        <v>28</v>
      </c>
    </row>
    <row r="147" spans="1:1" x14ac:dyDescent="0.2">
      <c r="A147" s="21">
        <v>18</v>
      </c>
    </row>
    <row r="148" spans="1:1" x14ac:dyDescent="0.2">
      <c r="A148" s="22">
        <v>18</v>
      </c>
    </row>
    <row r="149" spans="1:1" x14ac:dyDescent="0.2">
      <c r="A149" s="23" t="s">
        <v>48</v>
      </c>
    </row>
    <row r="150" spans="1:1" x14ac:dyDescent="0.2">
      <c r="A150" s="23" t="s">
        <v>49</v>
      </c>
    </row>
    <row r="151" spans="1:1" x14ac:dyDescent="0.2">
      <c r="A151" s="20" t="s">
        <v>41</v>
      </c>
    </row>
    <row r="152" spans="1:1" x14ac:dyDescent="0.2">
      <c r="A152" s="19" t="s">
        <v>28</v>
      </c>
    </row>
    <row r="153" spans="1:1" x14ac:dyDescent="0.2">
      <c r="A153" s="21">
        <v>3.51</v>
      </c>
    </row>
    <row r="154" spans="1:1" x14ac:dyDescent="0.2">
      <c r="A154" s="22">
        <v>3.51</v>
      </c>
    </row>
    <row r="155" spans="1:1" x14ac:dyDescent="0.2">
      <c r="A155" s="23" t="s">
        <v>50</v>
      </c>
    </row>
    <row r="156" spans="1:1" x14ac:dyDescent="0.2">
      <c r="A156" s="23" t="s">
        <v>51</v>
      </c>
    </row>
    <row r="157" spans="1:1" x14ac:dyDescent="0.2">
      <c r="A157" s="20" t="s">
        <v>41</v>
      </c>
    </row>
    <row r="158" spans="1:1" x14ac:dyDescent="0.2">
      <c r="A158" s="19" t="s">
        <v>28</v>
      </c>
    </row>
    <row r="159" spans="1:1" x14ac:dyDescent="0.2">
      <c r="A159" s="21">
        <v>9.99</v>
      </c>
    </row>
    <row r="160" spans="1:1" x14ac:dyDescent="0.2">
      <c r="A160" s="22">
        <v>9.99</v>
      </c>
    </row>
    <row r="161" spans="1:1" x14ac:dyDescent="0.2">
      <c r="A161" s="23" t="s">
        <v>52</v>
      </c>
    </row>
    <row r="162" spans="1:1" x14ac:dyDescent="0.2">
      <c r="A162" s="23" t="s">
        <v>53</v>
      </c>
    </row>
    <row r="163" spans="1:1" x14ac:dyDescent="0.2">
      <c r="A163" s="20" t="s">
        <v>41</v>
      </c>
    </row>
    <row r="164" spans="1:1" x14ac:dyDescent="0.2">
      <c r="A164" s="19" t="s">
        <v>28</v>
      </c>
    </row>
    <row r="165" spans="1:1" x14ac:dyDescent="0.2">
      <c r="A165" s="21">
        <v>13.5</v>
      </c>
    </row>
    <row r="166" spans="1:1" x14ac:dyDescent="0.2">
      <c r="A166" s="22">
        <v>13.5</v>
      </c>
    </row>
    <row r="167" spans="1:1" x14ac:dyDescent="0.2">
      <c r="A167" s="23" t="s">
        <v>54</v>
      </c>
    </row>
    <row r="168" spans="1:1" x14ac:dyDescent="0.2">
      <c r="A168" s="23" t="s">
        <v>55</v>
      </c>
    </row>
    <row r="169" spans="1:1" x14ac:dyDescent="0.2">
      <c r="A169" s="20" t="s">
        <v>25</v>
      </c>
    </row>
    <row r="170" spans="1:1" x14ac:dyDescent="0.2">
      <c r="A170" s="21">
        <v>-2.4</v>
      </c>
    </row>
    <row r="171" spans="1:1" x14ac:dyDescent="0.2">
      <c r="A171" s="21">
        <v>-3.24</v>
      </c>
    </row>
    <row r="172" spans="1:1" x14ac:dyDescent="0.2">
      <c r="A172" s="22">
        <v>-5.64</v>
      </c>
    </row>
    <row r="173" spans="1:1" x14ac:dyDescent="0.2">
      <c r="A173" s="23" t="s">
        <v>56</v>
      </c>
    </row>
    <row r="174" spans="1:1" x14ac:dyDescent="0.2">
      <c r="A174" s="23" t="s">
        <v>57</v>
      </c>
    </row>
    <row r="175" spans="1:1" x14ac:dyDescent="0.2">
      <c r="A175" s="20" t="s">
        <v>25</v>
      </c>
    </row>
    <row r="176" spans="1:1" x14ac:dyDescent="0.2">
      <c r="A176" s="21">
        <v>-0.2</v>
      </c>
    </row>
    <row r="177" spans="1:1" x14ac:dyDescent="0.2">
      <c r="A177" s="21">
        <v>-0.27</v>
      </c>
    </row>
    <row r="178" spans="1:1" x14ac:dyDescent="0.2">
      <c r="A178" s="22">
        <v>-0.47</v>
      </c>
    </row>
    <row r="179" spans="1:1" x14ac:dyDescent="0.2">
      <c r="A179" s="23" t="s">
        <v>58</v>
      </c>
    </row>
    <row r="180" spans="1:1" x14ac:dyDescent="0.2">
      <c r="A180" s="23" t="s">
        <v>57</v>
      </c>
    </row>
    <row r="181" spans="1:1" x14ac:dyDescent="0.2">
      <c r="A181" s="20" t="s">
        <v>41</v>
      </c>
    </row>
    <row r="182" spans="1:1" x14ac:dyDescent="0.2">
      <c r="A182" s="21">
        <v>26.14</v>
      </c>
    </row>
    <row r="183" spans="1:1" x14ac:dyDescent="0.2">
      <c r="A183" s="21">
        <v>-2.61</v>
      </c>
    </row>
    <row r="184" spans="1:1" x14ac:dyDescent="0.2">
      <c r="A184" s="21">
        <v>-37.03</v>
      </c>
    </row>
    <row r="185" spans="1:1" x14ac:dyDescent="0.2">
      <c r="A185" s="22">
        <v>-13.5</v>
      </c>
    </row>
    <row r="186" spans="1:1" x14ac:dyDescent="0.2">
      <c r="A186" s="23" t="s">
        <v>59</v>
      </c>
    </row>
    <row r="187" spans="1:1" x14ac:dyDescent="0.2">
      <c r="A187" s="23" t="s">
        <v>57</v>
      </c>
    </row>
    <row r="188" spans="1:1" x14ac:dyDescent="0.2">
      <c r="A188" s="20" t="s">
        <v>41</v>
      </c>
    </row>
    <row r="189" spans="1:1" x14ac:dyDescent="0.2">
      <c r="A189" s="19" t="s">
        <v>28</v>
      </c>
    </row>
    <row r="190" spans="1:1" x14ac:dyDescent="0.2">
      <c r="A190" s="21">
        <v>30.6</v>
      </c>
    </row>
    <row r="191" spans="1:1" x14ac:dyDescent="0.2">
      <c r="A191" s="22">
        <v>30.6</v>
      </c>
    </row>
    <row r="192" spans="1:1" x14ac:dyDescent="0.2">
      <c r="A192" s="23" t="s">
        <v>60</v>
      </c>
    </row>
    <row r="193" spans="1:1" x14ac:dyDescent="0.2">
      <c r="A193" s="23" t="s">
        <v>61</v>
      </c>
    </row>
    <row r="194" spans="1:1" x14ac:dyDescent="0.2">
      <c r="A194" s="20" t="s">
        <v>25</v>
      </c>
    </row>
    <row r="195" spans="1:1" x14ac:dyDescent="0.2">
      <c r="A195" s="21">
        <v>-5.18</v>
      </c>
    </row>
    <row r="196" spans="1:1" x14ac:dyDescent="0.2">
      <c r="A196" s="21">
        <v>-9.99</v>
      </c>
    </row>
    <row r="197" spans="1:1" x14ac:dyDescent="0.2">
      <c r="A197" s="22">
        <v>-15.17</v>
      </c>
    </row>
    <row r="198" spans="1:1" x14ac:dyDescent="0.2">
      <c r="A198" s="23" t="s">
        <v>62</v>
      </c>
    </row>
    <row r="199" spans="1:1" x14ac:dyDescent="0.2">
      <c r="A199" s="23" t="s">
        <v>63</v>
      </c>
    </row>
    <row r="200" spans="1:1" x14ac:dyDescent="0.2">
      <c r="A200" s="20" t="s">
        <v>41</v>
      </c>
    </row>
    <row r="201" spans="1:1" x14ac:dyDescent="0.2">
      <c r="A201" s="19" t="s">
        <v>28</v>
      </c>
    </row>
    <row r="202" spans="1:1" x14ac:dyDescent="0.2">
      <c r="A202" s="21">
        <v>1.45</v>
      </c>
    </row>
    <row r="203" spans="1:1" x14ac:dyDescent="0.2">
      <c r="A203" s="22">
        <v>1.45</v>
      </c>
    </row>
    <row r="204" spans="1:1" x14ac:dyDescent="0.2">
      <c r="A204" s="23" t="s">
        <v>64</v>
      </c>
    </row>
    <row r="205" spans="1:1" x14ac:dyDescent="0.2">
      <c r="A205" s="23" t="s">
        <v>63</v>
      </c>
    </row>
    <row r="206" spans="1:1" x14ac:dyDescent="0.2">
      <c r="A206" s="20" t="s">
        <v>41</v>
      </c>
    </row>
    <row r="207" spans="1:1" x14ac:dyDescent="0.2">
      <c r="A207" s="19" t="s">
        <v>28</v>
      </c>
    </row>
    <row r="208" spans="1:1" x14ac:dyDescent="0.2">
      <c r="A208" s="21">
        <v>20.93</v>
      </c>
    </row>
    <row r="209" spans="1:1" x14ac:dyDescent="0.2">
      <c r="A209" s="22">
        <v>20.93</v>
      </c>
    </row>
    <row r="210" spans="1:1" x14ac:dyDescent="0.2">
      <c r="A210" s="23" t="s">
        <v>65</v>
      </c>
    </row>
    <row r="211" spans="1:1" x14ac:dyDescent="0.2">
      <c r="A211" s="23" t="s">
        <v>66</v>
      </c>
    </row>
    <row r="212" spans="1:1" x14ac:dyDescent="0.2">
      <c r="A212" s="20" t="s">
        <v>25</v>
      </c>
    </row>
    <row r="213" spans="1:1" x14ac:dyDescent="0.2">
      <c r="A213" s="21">
        <v>-5.79</v>
      </c>
    </row>
    <row r="214" spans="1:1" x14ac:dyDescent="0.2">
      <c r="A214" s="21">
        <v>-13.69</v>
      </c>
    </row>
    <row r="215" spans="1:1" x14ac:dyDescent="0.2">
      <c r="A215" s="22">
        <v>-19.48</v>
      </c>
    </row>
    <row r="216" spans="1:1" x14ac:dyDescent="0.2">
      <c r="A216" s="23" t="s">
        <v>67</v>
      </c>
    </row>
    <row r="217" spans="1:1" x14ac:dyDescent="0.2">
      <c r="A217" s="23" t="s">
        <v>66</v>
      </c>
    </row>
    <row r="218" spans="1:1" x14ac:dyDescent="0.2">
      <c r="A218" s="20" t="s">
        <v>41</v>
      </c>
    </row>
    <row r="219" spans="1:1" x14ac:dyDescent="0.2">
      <c r="A219" s="19" t="s">
        <v>28</v>
      </c>
    </row>
    <row r="220" spans="1:1" x14ac:dyDescent="0.2">
      <c r="A220" s="21">
        <v>2.0699999999999998</v>
      </c>
    </row>
    <row r="221" spans="1:1" x14ac:dyDescent="0.2">
      <c r="A221" s="22">
        <v>2.0699999999999998</v>
      </c>
    </row>
    <row r="222" spans="1:1" x14ac:dyDescent="0.2">
      <c r="A222" s="23" t="s">
        <v>68</v>
      </c>
    </row>
    <row r="223" spans="1:1" x14ac:dyDescent="0.2">
      <c r="A223" s="23" t="s">
        <v>69</v>
      </c>
    </row>
    <row r="224" spans="1:1" x14ac:dyDescent="0.2">
      <c r="A224" s="20" t="s">
        <v>41</v>
      </c>
    </row>
    <row r="225" spans="1:1" x14ac:dyDescent="0.2">
      <c r="A225" s="19" t="s">
        <v>28</v>
      </c>
    </row>
    <row r="226" spans="1:1" x14ac:dyDescent="0.2">
      <c r="A226" s="21">
        <v>16.420000000000002</v>
      </c>
    </row>
    <row r="227" spans="1:1" x14ac:dyDescent="0.2">
      <c r="A227" s="22">
        <v>16.420000000000002</v>
      </c>
    </row>
    <row r="228" spans="1:1" x14ac:dyDescent="0.2">
      <c r="A228" s="23" t="s">
        <v>70</v>
      </c>
    </row>
    <row r="229" spans="1:1" x14ac:dyDescent="0.2">
      <c r="A229" s="23" t="s">
        <v>69</v>
      </c>
    </row>
    <row r="230" spans="1:1" x14ac:dyDescent="0.2">
      <c r="A230" s="20" t="s">
        <v>41</v>
      </c>
    </row>
    <row r="231" spans="1:1" x14ac:dyDescent="0.2">
      <c r="A231" s="19" t="s">
        <v>28</v>
      </c>
    </row>
    <row r="232" spans="1:1" x14ac:dyDescent="0.2">
      <c r="A232" s="21">
        <v>3.15</v>
      </c>
    </row>
    <row r="233" spans="1:1" x14ac:dyDescent="0.2">
      <c r="A233" s="22">
        <v>3.15</v>
      </c>
    </row>
    <row r="234" spans="1:1" x14ac:dyDescent="0.2">
      <c r="A234" s="23" t="s">
        <v>71</v>
      </c>
    </row>
    <row r="235" spans="1:1" x14ac:dyDescent="0.2">
      <c r="A235" s="23" t="s">
        <v>69</v>
      </c>
    </row>
    <row r="236" spans="1:1" x14ac:dyDescent="0.2">
      <c r="A236" s="20" t="s">
        <v>25</v>
      </c>
    </row>
    <row r="237" spans="1:1" x14ac:dyDescent="0.2">
      <c r="A237" s="19" t="s">
        <v>28</v>
      </c>
    </row>
    <row r="238" spans="1:1" x14ac:dyDescent="0.2">
      <c r="A238" s="21">
        <v>24.17</v>
      </c>
    </row>
    <row r="239" spans="1:1" x14ac:dyDescent="0.2">
      <c r="A239" s="22">
        <v>24.17</v>
      </c>
    </row>
    <row r="240" spans="1:1" x14ac:dyDescent="0.2">
      <c r="A240" s="23" t="s">
        <v>72</v>
      </c>
    </row>
    <row r="241" spans="1:1" x14ac:dyDescent="0.2">
      <c r="A241" s="23" t="s">
        <v>73</v>
      </c>
    </row>
    <row r="242" spans="1:1" x14ac:dyDescent="0.2">
      <c r="A242" s="20" t="s">
        <v>25</v>
      </c>
    </row>
    <row r="243" spans="1:1" x14ac:dyDescent="0.2">
      <c r="A243" s="19" t="s">
        <v>28</v>
      </c>
    </row>
    <row r="244" spans="1:1" x14ac:dyDescent="0.2">
      <c r="A244" s="21">
        <v>3.02</v>
      </c>
    </row>
    <row r="245" spans="1:1" x14ac:dyDescent="0.2">
      <c r="A245" s="22">
        <v>3.02</v>
      </c>
    </row>
    <row r="246" spans="1:1" x14ac:dyDescent="0.2">
      <c r="A246" s="23" t="s">
        <v>74</v>
      </c>
    </row>
    <row r="247" spans="1:1" x14ac:dyDescent="0.2">
      <c r="A247" s="23" t="s">
        <v>73</v>
      </c>
    </row>
    <row r="248" spans="1:1" x14ac:dyDescent="0.2">
      <c r="A248" s="20" t="s">
        <v>41</v>
      </c>
    </row>
    <row r="249" spans="1:1" x14ac:dyDescent="0.2">
      <c r="A249" s="19" t="s">
        <v>28</v>
      </c>
    </row>
    <row r="250" spans="1:1" x14ac:dyDescent="0.2">
      <c r="A250" s="21">
        <v>26.1</v>
      </c>
    </row>
    <row r="251" spans="1:1" x14ac:dyDescent="0.2">
      <c r="A251" s="22">
        <v>26.1</v>
      </c>
    </row>
    <row r="252" spans="1:1" x14ac:dyDescent="0.2">
      <c r="A252" s="23" t="s">
        <v>75</v>
      </c>
    </row>
    <row r="253" spans="1:1" x14ac:dyDescent="0.2">
      <c r="A253" s="23" t="s">
        <v>73</v>
      </c>
    </row>
    <row r="254" spans="1:1" x14ac:dyDescent="0.2">
      <c r="A254" s="20" t="s">
        <v>41</v>
      </c>
    </row>
    <row r="255" spans="1:1" x14ac:dyDescent="0.2">
      <c r="A255" s="21">
        <v>-0.42</v>
      </c>
    </row>
    <row r="256" spans="1:1" x14ac:dyDescent="0.2">
      <c r="A256" s="21">
        <v>-1.01</v>
      </c>
    </row>
    <row r="257" spans="1:1" x14ac:dyDescent="0.2">
      <c r="A257" s="22">
        <v>-1.43</v>
      </c>
    </row>
    <row r="258" spans="1:1" x14ac:dyDescent="0.2">
      <c r="A258" s="23" t="s">
        <v>76</v>
      </c>
    </row>
    <row r="259" spans="1:1" x14ac:dyDescent="0.2">
      <c r="A259" s="23" t="s">
        <v>77</v>
      </c>
    </row>
    <row r="260" spans="1:1" x14ac:dyDescent="0.2">
      <c r="A260" s="20" t="s">
        <v>41</v>
      </c>
    </row>
    <row r="261" spans="1:1" x14ac:dyDescent="0.2">
      <c r="A261" s="21">
        <v>-23.7</v>
      </c>
    </row>
    <row r="262" spans="1:1" x14ac:dyDescent="0.2">
      <c r="A262" s="21">
        <v>-77.47</v>
      </c>
    </row>
    <row r="263" spans="1:1" x14ac:dyDescent="0.2">
      <c r="A263" s="22">
        <v>-101.17</v>
      </c>
    </row>
    <row r="264" spans="1:1" x14ac:dyDescent="0.2">
      <c r="A264" s="23" t="s">
        <v>78</v>
      </c>
    </row>
    <row r="265" spans="1:1" x14ac:dyDescent="0.2">
      <c r="A265" s="23" t="s">
        <v>77</v>
      </c>
    </row>
    <row r="266" spans="1:1" x14ac:dyDescent="0.2">
      <c r="A266" s="20" t="s">
        <v>41</v>
      </c>
    </row>
    <row r="267" spans="1:1" x14ac:dyDescent="0.2">
      <c r="A267" s="21">
        <v>29.65</v>
      </c>
    </row>
    <row r="268" spans="1:1" x14ac:dyDescent="0.2">
      <c r="A268" s="21">
        <v>-2.97</v>
      </c>
    </row>
    <row r="269" spans="1:1" x14ac:dyDescent="0.2">
      <c r="A269" s="21">
        <v>-77.569999999999993</v>
      </c>
    </row>
    <row r="270" spans="1:1" x14ac:dyDescent="0.2">
      <c r="A270" s="22">
        <v>-50.89</v>
      </c>
    </row>
    <row r="271" spans="1:1" x14ac:dyDescent="0.2">
      <c r="A271" s="23" t="s">
        <v>79</v>
      </c>
    </row>
    <row r="272" spans="1:1" x14ac:dyDescent="0.2">
      <c r="A272" s="23" t="s">
        <v>77</v>
      </c>
    </row>
    <row r="273" spans="1:1" x14ac:dyDescent="0.2">
      <c r="A273" s="20" t="s">
        <v>41</v>
      </c>
    </row>
    <row r="274" spans="1:1" x14ac:dyDescent="0.2">
      <c r="A274" s="21">
        <v>28.9</v>
      </c>
    </row>
    <row r="275" spans="1:1" x14ac:dyDescent="0.2">
      <c r="A275" s="21">
        <v>-2.89</v>
      </c>
    </row>
    <row r="276" spans="1:1" x14ac:dyDescent="0.2">
      <c r="A276" s="21">
        <v>-117.27</v>
      </c>
    </row>
    <row r="277" spans="1:1" x14ac:dyDescent="0.2">
      <c r="A277" s="22">
        <v>-91.26</v>
      </c>
    </row>
    <row r="278" spans="1:1" x14ac:dyDescent="0.2">
      <c r="A278" s="23" t="s">
        <v>80</v>
      </c>
    </row>
    <row r="279" spans="1:1" x14ac:dyDescent="0.2">
      <c r="A279" s="23" t="s">
        <v>77</v>
      </c>
    </row>
    <row r="280" spans="1:1" x14ac:dyDescent="0.2">
      <c r="A280" s="20" t="s">
        <v>41</v>
      </c>
    </row>
    <row r="281" spans="1:1" x14ac:dyDescent="0.2">
      <c r="A281" s="19" t="s">
        <v>28</v>
      </c>
    </row>
    <row r="282" spans="1:1" x14ac:dyDescent="0.2">
      <c r="A282" s="21">
        <v>1.01</v>
      </c>
    </row>
    <row r="283" spans="1:1" x14ac:dyDescent="0.2">
      <c r="A283" s="22">
        <v>1.01</v>
      </c>
    </row>
    <row r="284" spans="1:1" x14ac:dyDescent="0.2">
      <c r="A284" s="23" t="s">
        <v>81</v>
      </c>
    </row>
    <row r="285" spans="1:1" x14ac:dyDescent="0.2">
      <c r="A285" s="23" t="s">
        <v>82</v>
      </c>
    </row>
    <row r="286" spans="1:1" x14ac:dyDescent="0.2">
      <c r="A286" s="20" t="s">
        <v>41</v>
      </c>
    </row>
    <row r="287" spans="1:1" x14ac:dyDescent="0.2">
      <c r="A287" s="19" t="s">
        <v>28</v>
      </c>
    </row>
    <row r="288" spans="1:1" x14ac:dyDescent="0.2">
      <c r="A288" s="21">
        <v>57.22</v>
      </c>
    </row>
    <row r="289" spans="1:1" x14ac:dyDescent="0.2">
      <c r="A289" s="22">
        <v>57.22</v>
      </c>
    </row>
    <row r="290" spans="1:1" x14ac:dyDescent="0.2">
      <c r="A290" s="23" t="s">
        <v>83</v>
      </c>
    </row>
    <row r="291" spans="1:1" x14ac:dyDescent="0.2">
      <c r="A291" s="23" t="s">
        <v>82</v>
      </c>
    </row>
    <row r="292" spans="1:1" x14ac:dyDescent="0.2">
      <c r="A292" s="20" t="s">
        <v>41</v>
      </c>
    </row>
    <row r="293" spans="1:1" x14ac:dyDescent="0.2">
      <c r="A293" s="19" t="s">
        <v>28</v>
      </c>
    </row>
    <row r="294" spans="1:1" x14ac:dyDescent="0.2">
      <c r="A294" s="21">
        <v>20.25</v>
      </c>
    </row>
    <row r="295" spans="1:1" x14ac:dyDescent="0.2">
      <c r="A295" s="22">
        <v>20.25</v>
      </c>
    </row>
    <row r="296" spans="1:1" x14ac:dyDescent="0.2">
      <c r="A296" s="23" t="s">
        <v>84</v>
      </c>
    </row>
    <row r="297" spans="1:1" x14ac:dyDescent="0.2">
      <c r="A297" s="23" t="s">
        <v>82</v>
      </c>
    </row>
    <row r="298" spans="1:1" x14ac:dyDescent="0.2">
      <c r="A298" s="20" t="s">
        <v>41</v>
      </c>
    </row>
    <row r="299" spans="1:1" x14ac:dyDescent="0.2">
      <c r="A299" s="19" t="s">
        <v>28</v>
      </c>
    </row>
    <row r="300" spans="1:1" x14ac:dyDescent="0.2">
      <c r="A300" s="21">
        <v>21.63</v>
      </c>
    </row>
    <row r="301" spans="1:1" x14ac:dyDescent="0.2">
      <c r="A301" s="22">
        <v>21.63</v>
      </c>
    </row>
    <row r="302" spans="1:1" x14ac:dyDescent="0.2">
      <c r="A302" s="23" t="s">
        <v>85</v>
      </c>
    </row>
    <row r="303" spans="1:1" x14ac:dyDescent="0.2">
      <c r="A303" s="23" t="s">
        <v>86</v>
      </c>
    </row>
    <row r="304" spans="1:1" x14ac:dyDescent="0.2">
      <c r="A304" s="20" t="s">
        <v>41</v>
      </c>
    </row>
    <row r="305" spans="1:1" x14ac:dyDescent="0.2">
      <c r="A305" s="19" t="s">
        <v>28</v>
      </c>
    </row>
    <row r="306" spans="1:1" x14ac:dyDescent="0.2">
      <c r="A306" s="21">
        <v>65.930000000000007</v>
      </c>
    </row>
    <row r="307" spans="1:1" x14ac:dyDescent="0.2">
      <c r="A307" s="22">
        <v>65.930000000000007</v>
      </c>
    </row>
    <row r="308" spans="1:1" x14ac:dyDescent="0.2">
      <c r="A308" s="23" t="s">
        <v>87</v>
      </c>
    </row>
    <row r="309" spans="1:1" x14ac:dyDescent="0.2">
      <c r="A309" s="23" t="s">
        <v>88</v>
      </c>
    </row>
    <row r="310" spans="1:1" x14ac:dyDescent="0.2">
      <c r="A310" s="20" t="s">
        <v>41</v>
      </c>
    </row>
    <row r="311" spans="1:1" x14ac:dyDescent="0.2">
      <c r="A311" s="21">
        <v>-47.6</v>
      </c>
    </row>
    <row r="312" spans="1:1" x14ac:dyDescent="0.2">
      <c r="A312" s="21">
        <v>-97.92</v>
      </c>
    </row>
    <row r="313" spans="1:1" x14ac:dyDescent="0.2">
      <c r="A313" s="22">
        <v>-145.52000000000001</v>
      </c>
    </row>
    <row r="314" spans="1:1" x14ac:dyDescent="0.2">
      <c r="A314" s="23" t="s">
        <v>89</v>
      </c>
    </row>
    <row r="315" spans="1:1" x14ac:dyDescent="0.2">
      <c r="A315" s="23" t="s">
        <v>90</v>
      </c>
    </row>
    <row r="316" spans="1:1" x14ac:dyDescent="0.2">
      <c r="A316" s="20" t="s">
        <v>25</v>
      </c>
    </row>
    <row r="317" spans="1:1" x14ac:dyDescent="0.2">
      <c r="A317" s="21">
        <v>-0.11</v>
      </c>
    </row>
    <row r="318" spans="1:1" x14ac:dyDescent="0.2">
      <c r="A318" s="21">
        <v>-0.11</v>
      </c>
    </row>
    <row r="319" spans="1:1" x14ac:dyDescent="0.2">
      <c r="A319" s="22">
        <v>-0.22</v>
      </c>
    </row>
    <row r="320" spans="1:1" x14ac:dyDescent="0.2">
      <c r="A320" s="23" t="s">
        <v>91</v>
      </c>
    </row>
    <row r="321" spans="1:1" x14ac:dyDescent="0.2">
      <c r="A321" s="23" t="s">
        <v>92</v>
      </c>
    </row>
    <row r="322" spans="1:1" x14ac:dyDescent="0.2">
      <c r="A322" s="20" t="s">
        <v>25</v>
      </c>
    </row>
    <row r="323" spans="1:1" x14ac:dyDescent="0.2">
      <c r="A323" s="21">
        <v>-10</v>
      </c>
    </row>
    <row r="324" spans="1:1" x14ac:dyDescent="0.2">
      <c r="A324" s="21">
        <v>-10.8</v>
      </c>
    </row>
    <row r="325" spans="1:1" x14ac:dyDescent="0.2">
      <c r="A325" s="22">
        <v>-20.8</v>
      </c>
    </row>
    <row r="326" spans="1:1" x14ac:dyDescent="0.2">
      <c r="A326" s="23" t="s">
        <v>93</v>
      </c>
    </row>
    <row r="327" spans="1:1" x14ac:dyDescent="0.2">
      <c r="A327" s="23" t="s">
        <v>94</v>
      </c>
    </row>
    <row r="328" spans="1:1" x14ac:dyDescent="0.2">
      <c r="A328" s="20" t="s">
        <v>25</v>
      </c>
    </row>
    <row r="329" spans="1:1" x14ac:dyDescent="0.2">
      <c r="A329" s="21">
        <v>-12.72</v>
      </c>
    </row>
    <row r="330" spans="1:1" x14ac:dyDescent="0.2">
      <c r="A330" s="21">
        <v>-17.170000000000002</v>
      </c>
    </row>
    <row r="331" spans="1:1" x14ac:dyDescent="0.2">
      <c r="A331" s="22">
        <v>-29.89</v>
      </c>
    </row>
    <row r="332" spans="1:1" x14ac:dyDescent="0.2">
      <c r="A332" s="23" t="s">
        <v>95</v>
      </c>
    </row>
    <row r="333" spans="1:1" x14ac:dyDescent="0.2">
      <c r="A333" s="23" t="s">
        <v>94</v>
      </c>
    </row>
    <row r="334" spans="1:1" x14ac:dyDescent="0.2">
      <c r="A334" s="20" t="s">
        <v>41</v>
      </c>
    </row>
    <row r="335" spans="1:1" x14ac:dyDescent="0.2">
      <c r="A335" s="19" t="s">
        <v>28</v>
      </c>
    </row>
    <row r="336" spans="1:1" x14ac:dyDescent="0.2">
      <c r="A336" s="21">
        <v>32.4</v>
      </c>
    </row>
    <row r="337" spans="1:1" x14ac:dyDescent="0.2">
      <c r="A337" s="22">
        <v>32.4</v>
      </c>
    </row>
    <row r="338" spans="1:1" x14ac:dyDescent="0.2">
      <c r="A338" s="23" t="s">
        <v>96</v>
      </c>
    </row>
    <row r="339" spans="1:1" x14ac:dyDescent="0.2">
      <c r="A339" s="23" t="s">
        <v>94</v>
      </c>
    </row>
    <row r="340" spans="1:1" x14ac:dyDescent="0.2">
      <c r="A340" s="20" t="s">
        <v>25</v>
      </c>
    </row>
    <row r="341" spans="1:1" x14ac:dyDescent="0.2">
      <c r="A341" s="21">
        <v>-0.8</v>
      </c>
    </row>
    <row r="342" spans="1:1" x14ac:dyDescent="0.2">
      <c r="A342" s="21">
        <v>-4.32</v>
      </c>
    </row>
    <row r="343" spans="1:1" x14ac:dyDescent="0.2">
      <c r="A343" s="22">
        <v>-5.12</v>
      </c>
    </row>
    <row r="344" spans="1:1" x14ac:dyDescent="0.2">
      <c r="A344" s="23" t="s">
        <v>97</v>
      </c>
    </row>
    <row r="345" spans="1:1" x14ac:dyDescent="0.2">
      <c r="A345" s="23" t="s">
        <v>98</v>
      </c>
    </row>
    <row r="346" spans="1:1" x14ac:dyDescent="0.2">
      <c r="A346" s="20" t="s">
        <v>41</v>
      </c>
    </row>
    <row r="347" spans="1:1" x14ac:dyDescent="0.2">
      <c r="A347" s="19" t="s">
        <v>28</v>
      </c>
    </row>
    <row r="348" spans="1:1" x14ac:dyDescent="0.2">
      <c r="A348" s="21">
        <v>172.8</v>
      </c>
    </row>
    <row r="349" spans="1:1" x14ac:dyDescent="0.2">
      <c r="A349" s="22">
        <v>172.8</v>
      </c>
    </row>
    <row r="350" spans="1:1" x14ac:dyDescent="0.2">
      <c r="A350" s="23" t="s">
        <v>99</v>
      </c>
    </row>
    <row r="351" spans="1:1" x14ac:dyDescent="0.2">
      <c r="A351" s="23" t="s">
        <v>100</v>
      </c>
    </row>
    <row r="352" spans="1:1" x14ac:dyDescent="0.2">
      <c r="A352" s="20" t="s">
        <v>41</v>
      </c>
    </row>
    <row r="353" spans="1:1" x14ac:dyDescent="0.2">
      <c r="A353" s="21">
        <v>-0.6</v>
      </c>
    </row>
    <row r="354" spans="1:1" x14ac:dyDescent="0.2">
      <c r="A354" s="21">
        <v>1.84</v>
      </c>
    </row>
    <row r="355" spans="1:1" x14ac:dyDescent="0.2">
      <c r="A355" s="22">
        <v>1.24</v>
      </c>
    </row>
    <row r="356" spans="1:1" x14ac:dyDescent="0.2">
      <c r="A356" s="23" t="s">
        <v>101</v>
      </c>
    </row>
    <row r="357" spans="1:1" x14ac:dyDescent="0.2">
      <c r="A357" s="23" t="s">
        <v>100</v>
      </c>
    </row>
    <row r="358" spans="1:1" x14ac:dyDescent="0.2">
      <c r="A358" s="20" t="s">
        <v>41</v>
      </c>
    </row>
    <row r="359" spans="1:1" x14ac:dyDescent="0.2">
      <c r="A359" s="21">
        <v>-13.44</v>
      </c>
    </row>
    <row r="360" spans="1:1" x14ac:dyDescent="0.2">
      <c r="A360" s="21">
        <v>43.2</v>
      </c>
    </row>
    <row r="361" spans="1:1" x14ac:dyDescent="0.2">
      <c r="A361" s="22">
        <v>29.76</v>
      </c>
    </row>
    <row r="362" spans="1:1" x14ac:dyDescent="0.2">
      <c r="A362" s="23" t="s">
        <v>102</v>
      </c>
    </row>
    <row r="363" spans="1:1" x14ac:dyDescent="0.2">
      <c r="A363" s="23" t="s">
        <v>100</v>
      </c>
    </row>
    <row r="364" spans="1:1" x14ac:dyDescent="0.2">
      <c r="A364" s="20" t="s">
        <v>41</v>
      </c>
    </row>
    <row r="365" spans="1:1" x14ac:dyDescent="0.2">
      <c r="A365" s="21">
        <v>-5.33</v>
      </c>
    </row>
    <row r="366" spans="1:1" x14ac:dyDescent="0.2">
      <c r="A366" s="21">
        <v>18.45</v>
      </c>
    </row>
    <row r="367" spans="1:1" x14ac:dyDescent="0.2">
      <c r="A367" s="22">
        <v>13.12</v>
      </c>
    </row>
    <row r="368" spans="1:1" x14ac:dyDescent="0.2">
      <c r="A368" s="23" t="s">
        <v>103</v>
      </c>
    </row>
    <row r="369" spans="1:1" x14ac:dyDescent="0.2">
      <c r="A369" s="23" t="s">
        <v>100</v>
      </c>
    </row>
    <row r="370" spans="1:1" x14ac:dyDescent="0.2">
      <c r="A370" s="20" t="s">
        <v>41</v>
      </c>
    </row>
    <row r="371" spans="1:1" x14ac:dyDescent="0.2">
      <c r="A371" s="21">
        <v>-0.72</v>
      </c>
    </row>
    <row r="372" spans="1:1" x14ac:dyDescent="0.2">
      <c r="A372" s="21">
        <v>2.7</v>
      </c>
    </row>
    <row r="373" spans="1:1" x14ac:dyDescent="0.2">
      <c r="A373" s="22">
        <v>1.98</v>
      </c>
    </row>
    <row r="374" spans="1:1" x14ac:dyDescent="0.2">
      <c r="A374" s="23" t="s">
        <v>104</v>
      </c>
    </row>
    <row r="375" spans="1:1" x14ac:dyDescent="0.2">
      <c r="A375" s="23" t="s">
        <v>100</v>
      </c>
    </row>
    <row r="376" spans="1:1" x14ac:dyDescent="0.2">
      <c r="A376" s="20" t="s">
        <v>41</v>
      </c>
    </row>
    <row r="377" spans="1:1" x14ac:dyDescent="0.2">
      <c r="A377" s="21">
        <v>-0.11</v>
      </c>
    </row>
    <row r="378" spans="1:1" x14ac:dyDescent="0.2">
      <c r="A378" s="21">
        <v>0.45</v>
      </c>
    </row>
    <row r="379" spans="1:1" x14ac:dyDescent="0.2">
      <c r="A379" s="22">
        <v>0.34</v>
      </c>
    </row>
    <row r="380" spans="1:1" x14ac:dyDescent="0.2">
      <c r="A380" s="23" t="s">
        <v>105</v>
      </c>
    </row>
    <row r="381" spans="1:1" x14ac:dyDescent="0.2">
      <c r="A381" s="23" t="s">
        <v>100</v>
      </c>
    </row>
    <row r="382" spans="1:1" x14ac:dyDescent="0.2">
      <c r="A382" s="20" t="s">
        <v>41</v>
      </c>
    </row>
    <row r="383" spans="1:1" x14ac:dyDescent="0.2">
      <c r="A383" s="21">
        <v>-0.1</v>
      </c>
    </row>
    <row r="384" spans="1:1" x14ac:dyDescent="0.2">
      <c r="A384" s="21">
        <v>0.45</v>
      </c>
    </row>
    <row r="385" spans="1:1" x14ac:dyDescent="0.2">
      <c r="A385" s="22">
        <v>0.35</v>
      </c>
    </row>
    <row r="386" spans="1:1" x14ac:dyDescent="0.2">
      <c r="A386" s="23" t="s">
        <v>106</v>
      </c>
    </row>
    <row r="387" spans="1:1" x14ac:dyDescent="0.2">
      <c r="A387" s="23" t="s">
        <v>100</v>
      </c>
    </row>
    <row r="388" spans="1:1" x14ac:dyDescent="0.2">
      <c r="A388" s="20" t="s">
        <v>41</v>
      </c>
    </row>
    <row r="389" spans="1:1" x14ac:dyDescent="0.2">
      <c r="A389" s="21">
        <v>-1.04</v>
      </c>
    </row>
    <row r="390" spans="1:1" x14ac:dyDescent="0.2">
      <c r="A390" s="21">
        <v>11.7</v>
      </c>
    </row>
    <row r="391" spans="1:1" x14ac:dyDescent="0.2">
      <c r="A391" s="22">
        <v>10.66</v>
      </c>
    </row>
    <row r="392" spans="1:1" x14ac:dyDescent="0.2">
      <c r="A392" s="23" t="s">
        <v>107</v>
      </c>
    </row>
    <row r="393" spans="1:1" x14ac:dyDescent="0.2">
      <c r="A393" s="23" t="s">
        <v>108</v>
      </c>
    </row>
    <row r="394" spans="1:1" x14ac:dyDescent="0.2">
      <c r="A394" s="20" t="s">
        <v>41</v>
      </c>
    </row>
    <row r="395" spans="1:1" x14ac:dyDescent="0.2">
      <c r="A395" s="21">
        <v>-0.75</v>
      </c>
    </row>
    <row r="396" spans="1:1" x14ac:dyDescent="0.2">
      <c r="A396" s="21">
        <v>11.25</v>
      </c>
    </row>
    <row r="397" spans="1:1" x14ac:dyDescent="0.2">
      <c r="A397" s="22">
        <v>10.5</v>
      </c>
    </row>
    <row r="398" spans="1:1" x14ac:dyDescent="0.2">
      <c r="A398" s="23" t="s">
        <v>109</v>
      </c>
    </row>
    <row r="399" spans="1:1" x14ac:dyDescent="0.2">
      <c r="A399" s="23" t="s">
        <v>108</v>
      </c>
    </row>
    <row r="400" spans="1:1" x14ac:dyDescent="0.2">
      <c r="A400" s="20" t="s">
        <v>41</v>
      </c>
    </row>
    <row r="401" spans="1:1" x14ac:dyDescent="0.2">
      <c r="A401" s="21">
        <v>0</v>
      </c>
    </row>
    <row r="402" spans="1:1" x14ac:dyDescent="0.2">
      <c r="A402" s="21">
        <v>45</v>
      </c>
    </row>
    <row r="403" spans="1:1" x14ac:dyDescent="0.2">
      <c r="A403" s="22">
        <v>45</v>
      </c>
    </row>
    <row r="404" spans="1:1" x14ac:dyDescent="0.2">
      <c r="A404" s="23" t="s">
        <v>110</v>
      </c>
    </row>
    <row r="405" spans="1:1" x14ac:dyDescent="0.2">
      <c r="A405" s="23" t="s">
        <v>108</v>
      </c>
    </row>
    <row r="406" spans="1:1" x14ac:dyDescent="0.2">
      <c r="A406" s="20" t="s">
        <v>25</v>
      </c>
    </row>
    <row r="407" spans="1:1" x14ac:dyDescent="0.2">
      <c r="A407" s="19" t="s">
        <v>28</v>
      </c>
    </row>
    <row r="408" spans="1:1" x14ac:dyDescent="0.2">
      <c r="A408" s="21">
        <v>32.4</v>
      </c>
    </row>
    <row r="409" spans="1:1" x14ac:dyDescent="0.2">
      <c r="A409" s="22">
        <v>32.4</v>
      </c>
    </row>
    <row r="410" spans="1:1" x14ac:dyDescent="0.2">
      <c r="A410" s="23" t="s">
        <v>111</v>
      </c>
    </row>
    <row r="411" spans="1:1" x14ac:dyDescent="0.2">
      <c r="A411" s="23" t="s">
        <v>112</v>
      </c>
    </row>
    <row r="412" spans="1:1" x14ac:dyDescent="0.2">
      <c r="A412" s="20" t="s">
        <v>41</v>
      </c>
    </row>
    <row r="413" spans="1:1" x14ac:dyDescent="0.2">
      <c r="A413" s="19" t="s">
        <v>28</v>
      </c>
    </row>
    <row r="414" spans="1:1" x14ac:dyDescent="0.2">
      <c r="A414" s="21">
        <v>-1.84</v>
      </c>
    </row>
    <row r="415" spans="1:1" x14ac:dyDescent="0.2">
      <c r="A415" s="22">
        <v>-1.84</v>
      </c>
    </row>
    <row r="416" spans="1:1" x14ac:dyDescent="0.2">
      <c r="A416" s="23" t="s">
        <v>113</v>
      </c>
    </row>
    <row r="417" spans="1:1" x14ac:dyDescent="0.2">
      <c r="A417" s="23" t="s">
        <v>114</v>
      </c>
    </row>
    <row r="418" spans="1:1" x14ac:dyDescent="0.2">
      <c r="A418" s="20" t="s">
        <v>41</v>
      </c>
    </row>
    <row r="419" spans="1:1" x14ac:dyDescent="0.2">
      <c r="A419" s="19" t="s">
        <v>28</v>
      </c>
    </row>
    <row r="420" spans="1:1" x14ac:dyDescent="0.2">
      <c r="A420" s="21">
        <v>-133.19999999999999</v>
      </c>
    </row>
    <row r="421" spans="1:1" x14ac:dyDescent="0.2">
      <c r="A421" s="22">
        <v>-133.19999999999999</v>
      </c>
    </row>
    <row r="422" spans="1:1" x14ac:dyDescent="0.2">
      <c r="A422" s="23" t="s">
        <v>115</v>
      </c>
    </row>
    <row r="423" spans="1:1" x14ac:dyDescent="0.2">
      <c r="A423" s="23" t="s">
        <v>114</v>
      </c>
    </row>
    <row r="424" spans="1:1" x14ac:dyDescent="0.2">
      <c r="A424" s="20" t="s">
        <v>41</v>
      </c>
    </row>
    <row r="425" spans="1:1" x14ac:dyDescent="0.2">
      <c r="A425" s="21">
        <v>-180</v>
      </c>
    </row>
    <row r="426" spans="1:1" x14ac:dyDescent="0.2">
      <c r="A426" s="21">
        <v>-225</v>
      </c>
    </row>
    <row r="427" spans="1:1" x14ac:dyDescent="0.2">
      <c r="A427" s="22">
        <v>-405</v>
      </c>
    </row>
    <row r="428" spans="1:1" x14ac:dyDescent="0.2">
      <c r="A428" s="23" t="s">
        <v>116</v>
      </c>
    </row>
    <row r="429" spans="1:1" x14ac:dyDescent="0.2">
      <c r="A429" s="23" t="s">
        <v>117</v>
      </c>
    </row>
    <row r="430" spans="1:1" x14ac:dyDescent="0.2">
      <c r="A430" s="20" t="s">
        <v>118</v>
      </c>
    </row>
    <row r="431" spans="1:1" x14ac:dyDescent="0.2">
      <c r="A431" s="21">
        <v>105.3</v>
      </c>
    </row>
    <row r="432" spans="1:1" x14ac:dyDescent="0.2">
      <c r="A432" s="21">
        <v>-10.53</v>
      </c>
    </row>
    <row r="433" spans="1:1" x14ac:dyDescent="0.2">
      <c r="A433" s="21">
        <v>-97.2</v>
      </c>
    </row>
    <row r="434" spans="1:1" x14ac:dyDescent="0.2">
      <c r="A434" s="22">
        <v>-2.4300000000000002</v>
      </c>
    </row>
    <row r="435" spans="1:1" x14ac:dyDescent="0.2">
      <c r="A435" s="23" t="s">
        <v>119</v>
      </c>
    </row>
    <row r="436" spans="1:1" x14ac:dyDescent="0.2">
      <c r="A436" s="23" t="s">
        <v>120</v>
      </c>
    </row>
    <row r="437" spans="1:1" x14ac:dyDescent="0.2">
      <c r="A437" s="20" t="s">
        <v>118</v>
      </c>
    </row>
    <row r="438" spans="1:1" x14ac:dyDescent="0.2">
      <c r="A438" s="21">
        <v>37.99</v>
      </c>
    </row>
    <row r="439" spans="1:1" x14ac:dyDescent="0.2">
      <c r="A439" s="21">
        <v>-3.8</v>
      </c>
    </row>
    <row r="440" spans="1:1" x14ac:dyDescent="0.2">
      <c r="A440" s="21">
        <v>-35.04</v>
      </c>
    </row>
    <row r="441" spans="1:1" x14ac:dyDescent="0.2">
      <c r="A441" s="22">
        <v>-0.85</v>
      </c>
    </row>
    <row r="442" spans="1:1" x14ac:dyDescent="0.2">
      <c r="A442" s="23" t="s">
        <v>121</v>
      </c>
    </row>
    <row r="443" spans="1:1" x14ac:dyDescent="0.2">
      <c r="A443" s="23" t="s">
        <v>120</v>
      </c>
    </row>
    <row r="444" spans="1:1" x14ac:dyDescent="0.2">
      <c r="A444" s="20" t="s">
        <v>41</v>
      </c>
    </row>
    <row r="445" spans="1:1" x14ac:dyDescent="0.2">
      <c r="A445" s="19" t="s">
        <v>28</v>
      </c>
    </row>
    <row r="446" spans="1:1" x14ac:dyDescent="0.2">
      <c r="A446" s="21">
        <v>225</v>
      </c>
    </row>
    <row r="447" spans="1:1" x14ac:dyDescent="0.2">
      <c r="A447" s="22">
        <v>225</v>
      </c>
    </row>
    <row r="448" spans="1:1" x14ac:dyDescent="0.2">
      <c r="A448" s="23" t="s">
        <v>122</v>
      </c>
    </row>
    <row r="449" spans="1:1" x14ac:dyDescent="0.2">
      <c r="A449" s="23" t="s">
        <v>123</v>
      </c>
    </row>
    <row r="450" spans="1:1" x14ac:dyDescent="0.2">
      <c r="A450" s="20" t="s">
        <v>118</v>
      </c>
    </row>
    <row r="451" spans="1:1" x14ac:dyDescent="0.2">
      <c r="A451" s="19" t="s">
        <v>28</v>
      </c>
    </row>
    <row r="452" spans="1:1" x14ac:dyDescent="0.2">
      <c r="A452" s="21">
        <v>97.92</v>
      </c>
    </row>
    <row r="453" spans="1:1" x14ac:dyDescent="0.2">
      <c r="A453" s="22">
        <v>97.92</v>
      </c>
    </row>
    <row r="454" spans="1:1" x14ac:dyDescent="0.2">
      <c r="A454" s="23" t="s">
        <v>124</v>
      </c>
    </row>
    <row r="455" spans="1:1" x14ac:dyDescent="0.2">
      <c r="A455" s="23" t="s">
        <v>125</v>
      </c>
    </row>
    <row r="456" spans="1:1" x14ac:dyDescent="0.2">
      <c r="A456" s="20" t="s">
        <v>118</v>
      </c>
    </row>
    <row r="457" spans="1:1" x14ac:dyDescent="0.2">
      <c r="A457" s="19" t="s">
        <v>28</v>
      </c>
    </row>
    <row r="458" spans="1:1" x14ac:dyDescent="0.2">
      <c r="A458" s="21">
        <v>18.82</v>
      </c>
    </row>
    <row r="459" spans="1:1" x14ac:dyDescent="0.2">
      <c r="A459" s="22">
        <v>18.82</v>
      </c>
    </row>
    <row r="460" spans="1:1" x14ac:dyDescent="0.2">
      <c r="A460" s="23" t="s">
        <v>126</v>
      </c>
    </row>
    <row r="461" spans="1:1" x14ac:dyDescent="0.2">
      <c r="A461" s="23" t="s">
        <v>125</v>
      </c>
    </row>
    <row r="462" spans="1:1" x14ac:dyDescent="0.2">
      <c r="A462" s="20" t="s">
        <v>118</v>
      </c>
    </row>
    <row r="463" spans="1:1" x14ac:dyDescent="0.2">
      <c r="A463" s="19" t="s">
        <v>28</v>
      </c>
    </row>
    <row r="464" spans="1:1" x14ac:dyDescent="0.2">
      <c r="A464" s="21">
        <v>15.5</v>
      </c>
    </row>
    <row r="465" spans="1:1" x14ac:dyDescent="0.2">
      <c r="A465" s="22">
        <v>15.5</v>
      </c>
    </row>
    <row r="466" spans="1:1" x14ac:dyDescent="0.2">
      <c r="A466" s="23" t="s">
        <v>127</v>
      </c>
    </row>
    <row r="467" spans="1:1" x14ac:dyDescent="0.2">
      <c r="A467" s="23" t="s">
        <v>125</v>
      </c>
    </row>
    <row r="468" spans="1:1" x14ac:dyDescent="0.2">
      <c r="A468" s="20" t="s">
        <v>14</v>
      </c>
    </row>
    <row r="469" spans="1:1" x14ac:dyDescent="0.2">
      <c r="A469" s="19" t="s">
        <v>28</v>
      </c>
    </row>
    <row r="470" spans="1:1" x14ac:dyDescent="0.2">
      <c r="A470" s="21">
        <v>-340.64</v>
      </c>
    </row>
    <row r="471" spans="1:1" x14ac:dyDescent="0.2">
      <c r="A471" s="22">
        <v>-340.64</v>
      </c>
    </row>
    <row r="472" spans="1:1" x14ac:dyDescent="0.2">
      <c r="A472" s="23" t="s">
        <v>128</v>
      </c>
    </row>
    <row r="473" spans="1:1" x14ac:dyDescent="0.2">
      <c r="A473" s="23" t="s">
        <v>129</v>
      </c>
    </row>
    <row r="474" spans="1:1" x14ac:dyDescent="0.2">
      <c r="A474" s="20" t="s">
        <v>14</v>
      </c>
    </row>
    <row r="475" spans="1:1" x14ac:dyDescent="0.2">
      <c r="A475" s="19" t="s">
        <v>28</v>
      </c>
    </row>
    <row r="476" spans="1:1" x14ac:dyDescent="0.2">
      <c r="A476" s="21">
        <v>70.22</v>
      </c>
    </row>
    <row r="477" spans="1:1" x14ac:dyDescent="0.2">
      <c r="A477" s="22">
        <v>70.22</v>
      </c>
    </row>
    <row r="478" spans="1:1" x14ac:dyDescent="0.2">
      <c r="A478" s="23" t="s">
        <v>130</v>
      </c>
    </row>
    <row r="479" spans="1:1" x14ac:dyDescent="0.2">
      <c r="A479" s="23" t="s">
        <v>131</v>
      </c>
    </row>
    <row r="480" spans="1:1" x14ac:dyDescent="0.2">
      <c r="A480" s="20" t="s">
        <v>14</v>
      </c>
    </row>
    <row r="481" spans="1:1" x14ac:dyDescent="0.2">
      <c r="A481" s="19" t="s">
        <v>28</v>
      </c>
    </row>
    <row r="482" spans="1:1" x14ac:dyDescent="0.2">
      <c r="A482" s="21">
        <v>33.299999999999997</v>
      </c>
    </row>
    <row r="483" spans="1:1" x14ac:dyDescent="0.2">
      <c r="A483" s="22">
        <v>33.299999999999997</v>
      </c>
    </row>
    <row r="484" spans="1:1" x14ac:dyDescent="0.2">
      <c r="A484" s="23" t="s">
        <v>132</v>
      </c>
    </row>
    <row r="485" spans="1:1" x14ac:dyDescent="0.2">
      <c r="A485" s="23" t="s">
        <v>133</v>
      </c>
    </row>
    <row r="486" spans="1:1" x14ac:dyDescent="0.2">
      <c r="A486" s="20" t="s">
        <v>14</v>
      </c>
    </row>
    <row r="487" spans="1:1" x14ac:dyDescent="0.2">
      <c r="A487" s="19" t="s">
        <v>28</v>
      </c>
    </row>
    <row r="488" spans="1:1" x14ac:dyDescent="0.2">
      <c r="A488" s="21">
        <v>9.18</v>
      </c>
    </row>
    <row r="489" spans="1:1" x14ac:dyDescent="0.2">
      <c r="A489" s="22">
        <v>9.18</v>
      </c>
    </row>
    <row r="490" spans="1:1" x14ac:dyDescent="0.2">
      <c r="A490" s="23" t="s">
        <v>134</v>
      </c>
    </row>
    <row r="491" spans="1:1" x14ac:dyDescent="0.2">
      <c r="A491" s="23" t="s">
        <v>135</v>
      </c>
    </row>
    <row r="492" spans="1:1" x14ac:dyDescent="0.2">
      <c r="A492" s="20" t="s">
        <v>14</v>
      </c>
    </row>
    <row r="493" spans="1:1" x14ac:dyDescent="0.2">
      <c r="A493" s="19" t="s">
        <v>28</v>
      </c>
    </row>
    <row r="494" spans="1:1" x14ac:dyDescent="0.2">
      <c r="A494" s="21">
        <v>22.05</v>
      </c>
    </row>
    <row r="495" spans="1:1" x14ac:dyDescent="0.2">
      <c r="A495" s="22">
        <v>22.05</v>
      </c>
    </row>
    <row r="496" spans="1:1" x14ac:dyDescent="0.2">
      <c r="A496" s="23" t="s">
        <v>136</v>
      </c>
    </row>
    <row r="497" spans="1:1" x14ac:dyDescent="0.2">
      <c r="A497" s="23" t="s">
        <v>135</v>
      </c>
    </row>
    <row r="498" spans="1:1" x14ac:dyDescent="0.2">
      <c r="A498" s="20" t="s">
        <v>14</v>
      </c>
    </row>
    <row r="499" spans="1:1" x14ac:dyDescent="0.2">
      <c r="A499" s="19" t="s">
        <v>28</v>
      </c>
    </row>
    <row r="500" spans="1:1" x14ac:dyDescent="0.2">
      <c r="A500" s="21">
        <v>29.7</v>
      </c>
    </row>
    <row r="501" spans="1:1" x14ac:dyDescent="0.2">
      <c r="A501" s="22">
        <v>29.7</v>
      </c>
    </row>
    <row r="502" spans="1:1" x14ac:dyDescent="0.2">
      <c r="A502" s="23" t="s">
        <v>137</v>
      </c>
    </row>
    <row r="503" spans="1:1" x14ac:dyDescent="0.2">
      <c r="A503" s="23" t="s">
        <v>138</v>
      </c>
    </row>
    <row r="504" spans="1:1" x14ac:dyDescent="0.2">
      <c r="A504" s="20" t="s">
        <v>14</v>
      </c>
    </row>
    <row r="505" spans="1:1" x14ac:dyDescent="0.2">
      <c r="A505" s="19" t="s">
        <v>28</v>
      </c>
    </row>
    <row r="506" spans="1:1" x14ac:dyDescent="0.2">
      <c r="A506" s="21">
        <v>53.01</v>
      </c>
    </row>
    <row r="507" spans="1:1" x14ac:dyDescent="0.2">
      <c r="A507" s="22">
        <v>53.01</v>
      </c>
    </row>
    <row r="508" spans="1:1" x14ac:dyDescent="0.2">
      <c r="A508" s="23" t="s">
        <v>139</v>
      </c>
    </row>
    <row r="509" spans="1:1" x14ac:dyDescent="0.2">
      <c r="A509" s="23" t="s">
        <v>138</v>
      </c>
    </row>
    <row r="510" spans="1:1" x14ac:dyDescent="0.2">
      <c r="A510" s="20" t="s">
        <v>118</v>
      </c>
    </row>
    <row r="511" spans="1:1" x14ac:dyDescent="0.2">
      <c r="A511" s="21">
        <v>0.7</v>
      </c>
    </row>
    <row r="512" spans="1:1" x14ac:dyDescent="0.2">
      <c r="A512" s="21">
        <v>-7.0000000000000007E-2</v>
      </c>
    </row>
    <row r="513" spans="1:1" x14ac:dyDescent="0.2">
      <c r="A513" s="21">
        <v>2.17</v>
      </c>
    </row>
    <row r="514" spans="1:1" x14ac:dyDescent="0.2">
      <c r="A514" s="22">
        <v>2.8</v>
      </c>
    </row>
    <row r="515" spans="1:1" x14ac:dyDescent="0.2">
      <c r="A515" s="23" t="s">
        <v>140</v>
      </c>
    </row>
    <row r="516" spans="1:1" x14ac:dyDescent="0.2">
      <c r="A516" s="23" t="s">
        <v>141</v>
      </c>
    </row>
    <row r="517" spans="1:1" x14ac:dyDescent="0.2">
      <c r="A517" s="20" t="s">
        <v>118</v>
      </c>
    </row>
    <row r="518" spans="1:1" x14ac:dyDescent="0.2">
      <c r="A518" s="21">
        <v>5.16</v>
      </c>
    </row>
    <row r="519" spans="1:1" x14ac:dyDescent="0.2">
      <c r="A519" s="21">
        <v>-0.52</v>
      </c>
    </row>
    <row r="520" spans="1:1" x14ac:dyDescent="0.2">
      <c r="A520" s="21">
        <v>12.47</v>
      </c>
    </row>
    <row r="521" spans="1:1" x14ac:dyDescent="0.2">
      <c r="A521" s="22">
        <v>17.11</v>
      </c>
    </row>
    <row r="522" spans="1:1" x14ac:dyDescent="0.2">
      <c r="A522" s="23" t="s">
        <v>142</v>
      </c>
    </row>
    <row r="523" spans="1:1" x14ac:dyDescent="0.2">
      <c r="A523" s="23" t="s">
        <v>141</v>
      </c>
    </row>
    <row r="524" spans="1:1" x14ac:dyDescent="0.2">
      <c r="A524" s="20" t="s">
        <v>118</v>
      </c>
    </row>
    <row r="525" spans="1:1" x14ac:dyDescent="0.2">
      <c r="A525" s="21">
        <v>6.39</v>
      </c>
    </row>
    <row r="526" spans="1:1" x14ac:dyDescent="0.2">
      <c r="A526" s="21">
        <v>-0.64</v>
      </c>
    </row>
    <row r="527" spans="1:1" x14ac:dyDescent="0.2">
      <c r="A527" s="21">
        <v>14.61</v>
      </c>
    </row>
    <row r="528" spans="1:1" x14ac:dyDescent="0.2">
      <c r="A528" s="22">
        <v>20.36</v>
      </c>
    </row>
    <row r="529" spans="1:1" x14ac:dyDescent="0.2">
      <c r="A529" s="23" t="s">
        <v>143</v>
      </c>
    </row>
    <row r="530" spans="1:1" x14ac:dyDescent="0.2">
      <c r="A530" s="23" t="s">
        <v>141</v>
      </c>
    </row>
    <row r="531" spans="1:1" x14ac:dyDescent="0.2">
      <c r="A531" s="20" t="s">
        <v>14</v>
      </c>
    </row>
    <row r="532" spans="1:1" x14ac:dyDescent="0.2">
      <c r="A532" s="21">
        <v>0.84</v>
      </c>
    </row>
    <row r="533" spans="1:1" x14ac:dyDescent="0.2">
      <c r="A533" s="21">
        <v>-0.08</v>
      </c>
    </row>
    <row r="534" spans="1:1" x14ac:dyDescent="0.2">
      <c r="A534" s="21">
        <v>-2.65</v>
      </c>
    </row>
    <row r="535" spans="1:1" x14ac:dyDescent="0.2">
      <c r="A535" s="22">
        <v>-1.89</v>
      </c>
    </row>
    <row r="536" spans="1:1" x14ac:dyDescent="0.2">
      <c r="A536" s="23" t="s">
        <v>144</v>
      </c>
    </row>
    <row r="537" spans="1:1" x14ac:dyDescent="0.2">
      <c r="A537" s="23" t="s">
        <v>141</v>
      </c>
    </row>
    <row r="538" spans="1:1" x14ac:dyDescent="0.2">
      <c r="A538" s="20" t="s">
        <v>14</v>
      </c>
    </row>
    <row r="539" spans="1:1" x14ac:dyDescent="0.2">
      <c r="A539" s="21">
        <v>5.35</v>
      </c>
    </row>
    <row r="540" spans="1:1" x14ac:dyDescent="0.2">
      <c r="A540" s="21">
        <v>-0.54</v>
      </c>
    </row>
    <row r="541" spans="1:1" x14ac:dyDescent="0.2">
      <c r="A541" s="21">
        <v>-15.22</v>
      </c>
    </row>
    <row r="542" spans="1:1" x14ac:dyDescent="0.2">
      <c r="A542" s="22">
        <v>-10.4</v>
      </c>
    </row>
    <row r="543" spans="1:1" x14ac:dyDescent="0.2">
      <c r="A543" s="23" t="s">
        <v>145</v>
      </c>
    </row>
    <row r="544" spans="1:1" x14ac:dyDescent="0.2">
      <c r="A544" s="23" t="s">
        <v>141</v>
      </c>
    </row>
    <row r="545" spans="1:1" x14ac:dyDescent="0.2">
      <c r="A545" s="20" t="s">
        <v>146</v>
      </c>
    </row>
    <row r="546" spans="1:1" x14ac:dyDescent="0.2">
      <c r="A546" s="21">
        <v>14.85</v>
      </c>
    </row>
    <row r="547" spans="1:1" x14ac:dyDescent="0.2">
      <c r="A547" s="21">
        <v>-1.49</v>
      </c>
    </row>
    <row r="548" spans="1:1" x14ac:dyDescent="0.2">
      <c r="A548" s="21">
        <v>-14.26</v>
      </c>
    </row>
    <row r="549" spans="1:1" x14ac:dyDescent="0.2">
      <c r="A549" s="22">
        <v>-0.89</v>
      </c>
    </row>
    <row r="550" spans="1:1" x14ac:dyDescent="0.2">
      <c r="A550" s="23" t="s">
        <v>147</v>
      </c>
    </row>
    <row r="551" spans="1:1" x14ac:dyDescent="0.2">
      <c r="A551" s="23" t="s">
        <v>141</v>
      </c>
    </row>
    <row r="552" spans="1:1" x14ac:dyDescent="0.2">
      <c r="A552" s="20" t="s">
        <v>146</v>
      </c>
    </row>
    <row r="553" spans="1:1" x14ac:dyDescent="0.2">
      <c r="A553" s="21">
        <v>183.8</v>
      </c>
    </row>
    <row r="554" spans="1:1" x14ac:dyDescent="0.2">
      <c r="A554" s="21">
        <v>-18.38</v>
      </c>
    </row>
    <row r="555" spans="1:1" x14ac:dyDescent="0.2">
      <c r="A555" s="21">
        <v>137.80000000000001</v>
      </c>
    </row>
    <row r="556" spans="1:1" x14ac:dyDescent="0.2">
      <c r="A556" s="22">
        <v>303.22000000000003</v>
      </c>
    </row>
    <row r="557" spans="1:1" x14ac:dyDescent="0.2">
      <c r="A557" s="23" t="s">
        <v>148</v>
      </c>
    </row>
    <row r="558" spans="1:1" x14ac:dyDescent="0.2">
      <c r="A558" s="23" t="s">
        <v>141</v>
      </c>
    </row>
    <row r="559" spans="1:1" x14ac:dyDescent="0.2">
      <c r="A559" s="20" t="s">
        <v>14</v>
      </c>
    </row>
    <row r="560" spans="1:1" x14ac:dyDescent="0.2">
      <c r="A560" s="21">
        <v>4</v>
      </c>
    </row>
    <row r="561" spans="1:1" x14ac:dyDescent="0.2">
      <c r="A561" s="21">
        <v>-0.4</v>
      </c>
    </row>
    <row r="562" spans="1:1" x14ac:dyDescent="0.2">
      <c r="A562" s="21">
        <v>-11.25</v>
      </c>
    </row>
    <row r="563" spans="1:1" x14ac:dyDescent="0.2">
      <c r="A563" s="22">
        <v>-7.65</v>
      </c>
    </row>
    <row r="564" spans="1:1" x14ac:dyDescent="0.2">
      <c r="A564" s="23" t="s">
        <v>149</v>
      </c>
    </row>
    <row r="565" spans="1:1" x14ac:dyDescent="0.2">
      <c r="A565" s="23" t="s">
        <v>150</v>
      </c>
    </row>
    <row r="566" spans="1:1" x14ac:dyDescent="0.2">
      <c r="A566" s="20" t="s">
        <v>14</v>
      </c>
    </row>
    <row r="567" spans="1:1" x14ac:dyDescent="0.2">
      <c r="A567" s="21">
        <v>1.7</v>
      </c>
    </row>
    <row r="568" spans="1:1" x14ac:dyDescent="0.2">
      <c r="A568" s="21">
        <v>-0.17</v>
      </c>
    </row>
    <row r="569" spans="1:1" x14ac:dyDescent="0.2">
      <c r="A569" s="21">
        <v>-4.5</v>
      </c>
    </row>
    <row r="570" spans="1:1" x14ac:dyDescent="0.2">
      <c r="A570" s="22">
        <v>-2.97</v>
      </c>
    </row>
    <row r="571" spans="1:1" x14ac:dyDescent="0.2">
      <c r="A571" s="23" t="s">
        <v>151</v>
      </c>
    </row>
    <row r="572" spans="1:1" x14ac:dyDescent="0.2">
      <c r="A572" s="23" t="s">
        <v>150</v>
      </c>
    </row>
    <row r="573" spans="1:1" x14ac:dyDescent="0.2">
      <c r="A573" s="20" t="s">
        <v>14</v>
      </c>
    </row>
    <row r="574" spans="1:1" x14ac:dyDescent="0.2">
      <c r="A574" s="21">
        <v>4.5</v>
      </c>
    </row>
    <row r="575" spans="1:1" x14ac:dyDescent="0.2">
      <c r="A575" s="21">
        <v>-0.45</v>
      </c>
    </row>
    <row r="576" spans="1:1" x14ac:dyDescent="0.2">
      <c r="A576" s="21">
        <v>-11.25</v>
      </c>
    </row>
    <row r="577" spans="1:1" x14ac:dyDescent="0.2">
      <c r="A577" s="22">
        <v>-7.2</v>
      </c>
    </row>
    <row r="578" spans="1:1" x14ac:dyDescent="0.2">
      <c r="A578" s="23" t="s">
        <v>152</v>
      </c>
    </row>
    <row r="579" spans="1:1" x14ac:dyDescent="0.2">
      <c r="A579" s="23" t="s">
        <v>150</v>
      </c>
    </row>
    <row r="580" spans="1:1" x14ac:dyDescent="0.2">
      <c r="A580" s="20" t="s">
        <v>41</v>
      </c>
    </row>
    <row r="581" spans="1:1" x14ac:dyDescent="0.2">
      <c r="A581" s="21">
        <v>1.9</v>
      </c>
    </row>
    <row r="582" spans="1:1" x14ac:dyDescent="0.2">
      <c r="A582" s="21">
        <v>-0.19</v>
      </c>
    </row>
    <row r="583" spans="1:1" x14ac:dyDescent="0.2">
      <c r="A583" s="21">
        <v>11.4</v>
      </c>
    </row>
    <row r="584" spans="1:1" x14ac:dyDescent="0.2">
      <c r="A584" s="22">
        <v>13.11</v>
      </c>
    </row>
    <row r="585" spans="1:1" x14ac:dyDescent="0.2">
      <c r="A585" s="23" t="s">
        <v>153</v>
      </c>
    </row>
    <row r="586" spans="1:1" x14ac:dyDescent="0.2">
      <c r="A586" s="23" t="s">
        <v>154</v>
      </c>
    </row>
    <row r="587" spans="1:1" x14ac:dyDescent="0.2">
      <c r="A587" s="20" t="s">
        <v>41</v>
      </c>
    </row>
    <row r="588" spans="1:1" x14ac:dyDescent="0.2">
      <c r="A588" s="21">
        <v>0.8</v>
      </c>
    </row>
    <row r="589" spans="1:1" x14ac:dyDescent="0.2">
      <c r="A589" s="21">
        <v>-0.08</v>
      </c>
    </row>
    <row r="590" spans="1:1" x14ac:dyDescent="0.2">
      <c r="A590" s="21">
        <v>4.8</v>
      </c>
    </row>
    <row r="591" spans="1:1" x14ac:dyDescent="0.2">
      <c r="A591" s="22">
        <v>5.52</v>
      </c>
    </row>
    <row r="592" spans="1:1" x14ac:dyDescent="0.2">
      <c r="A592" s="23" t="s">
        <v>155</v>
      </c>
    </row>
    <row r="593" spans="1:1" x14ac:dyDescent="0.2">
      <c r="A593" s="23" t="s">
        <v>154</v>
      </c>
    </row>
    <row r="594" spans="1:1" x14ac:dyDescent="0.2">
      <c r="A594" s="20" t="s">
        <v>14</v>
      </c>
    </row>
    <row r="595" spans="1:1" x14ac:dyDescent="0.2">
      <c r="A595" s="19" t="s">
        <v>28</v>
      </c>
    </row>
    <row r="596" spans="1:1" x14ac:dyDescent="0.2">
      <c r="A596" s="21">
        <v>6.62</v>
      </c>
    </row>
    <row r="597" spans="1:1" x14ac:dyDescent="0.2">
      <c r="A597" s="22">
        <v>6.62</v>
      </c>
    </row>
    <row r="598" spans="1:1" x14ac:dyDescent="0.2">
      <c r="A598" s="23" t="s">
        <v>156</v>
      </c>
    </row>
    <row r="599" spans="1:1" x14ac:dyDescent="0.2">
      <c r="A599" s="23" t="s">
        <v>157</v>
      </c>
    </row>
    <row r="600" spans="1:1" x14ac:dyDescent="0.2">
      <c r="A600" s="20" t="s">
        <v>118</v>
      </c>
    </row>
    <row r="601" spans="1:1" x14ac:dyDescent="0.2">
      <c r="A601" s="19" t="s">
        <v>28</v>
      </c>
    </row>
    <row r="602" spans="1:1" x14ac:dyDescent="0.2">
      <c r="A602" s="21">
        <v>-2.17</v>
      </c>
    </row>
    <row r="603" spans="1:1" x14ac:dyDescent="0.2">
      <c r="A603" s="22">
        <v>-2.17</v>
      </c>
    </row>
    <row r="604" spans="1:1" x14ac:dyDescent="0.2">
      <c r="A604" s="23" t="s">
        <v>158</v>
      </c>
    </row>
    <row r="605" spans="1:1" x14ac:dyDescent="0.2">
      <c r="A605" s="23" t="s">
        <v>159</v>
      </c>
    </row>
    <row r="606" spans="1:1" x14ac:dyDescent="0.2">
      <c r="A606" s="20" t="s">
        <v>118</v>
      </c>
    </row>
    <row r="607" spans="1:1" x14ac:dyDescent="0.2">
      <c r="A607" s="19" t="s">
        <v>28</v>
      </c>
    </row>
    <row r="608" spans="1:1" x14ac:dyDescent="0.2">
      <c r="A608" s="21">
        <v>-14.5</v>
      </c>
    </row>
    <row r="609" spans="1:1" x14ac:dyDescent="0.2">
      <c r="A609" s="22">
        <v>-14.5</v>
      </c>
    </row>
    <row r="610" spans="1:1" x14ac:dyDescent="0.2">
      <c r="A610" s="23" t="s">
        <v>160</v>
      </c>
    </row>
    <row r="611" spans="1:1" x14ac:dyDescent="0.2">
      <c r="A611" s="23" t="s">
        <v>161</v>
      </c>
    </row>
    <row r="612" spans="1:1" x14ac:dyDescent="0.2">
      <c r="A612" s="20" t="s">
        <v>14</v>
      </c>
    </row>
    <row r="613" spans="1:1" x14ac:dyDescent="0.2">
      <c r="A613" s="19" t="s">
        <v>28</v>
      </c>
    </row>
    <row r="614" spans="1:1" x14ac:dyDescent="0.2">
      <c r="A614" s="21">
        <v>38.25</v>
      </c>
    </row>
    <row r="615" spans="1:1" x14ac:dyDescent="0.2">
      <c r="A615" s="22">
        <v>38.25</v>
      </c>
    </row>
    <row r="616" spans="1:1" x14ac:dyDescent="0.2">
      <c r="A616" s="23" t="s">
        <v>162</v>
      </c>
    </row>
    <row r="617" spans="1:1" x14ac:dyDescent="0.2">
      <c r="A617" s="23" t="s">
        <v>163</v>
      </c>
    </row>
    <row r="618" spans="1:1" x14ac:dyDescent="0.2">
      <c r="A618" s="20" t="s">
        <v>118</v>
      </c>
    </row>
    <row r="619" spans="1:1" x14ac:dyDescent="0.2">
      <c r="A619" s="19" t="s">
        <v>28</v>
      </c>
    </row>
    <row r="620" spans="1:1" x14ac:dyDescent="0.2">
      <c r="A620" s="21">
        <v>-3.3</v>
      </c>
    </row>
    <row r="621" spans="1:1" x14ac:dyDescent="0.2">
      <c r="A621" s="22">
        <v>-3.3</v>
      </c>
    </row>
    <row r="622" spans="1:1" x14ac:dyDescent="0.2">
      <c r="A622" s="23" t="s">
        <v>164</v>
      </c>
    </row>
    <row r="623" spans="1:1" x14ac:dyDescent="0.2">
      <c r="A623" s="23" t="s">
        <v>165</v>
      </c>
    </row>
    <row r="624" spans="1:1" x14ac:dyDescent="0.2">
      <c r="A624" s="20" t="s">
        <v>118</v>
      </c>
    </row>
    <row r="625" spans="1:1" x14ac:dyDescent="0.2">
      <c r="A625" s="19" t="s">
        <v>28</v>
      </c>
    </row>
    <row r="626" spans="1:1" x14ac:dyDescent="0.2">
      <c r="A626" s="21">
        <v>-9.2799999999999994</v>
      </c>
    </row>
    <row r="627" spans="1:1" x14ac:dyDescent="0.2">
      <c r="A627" s="22">
        <v>-9.2799999999999994</v>
      </c>
    </row>
    <row r="628" spans="1:1" x14ac:dyDescent="0.2">
      <c r="A628" s="23" t="s">
        <v>166</v>
      </c>
    </row>
    <row r="629" spans="1:1" x14ac:dyDescent="0.2">
      <c r="A629" s="23" t="s">
        <v>165</v>
      </c>
    </row>
    <row r="630" spans="1:1" x14ac:dyDescent="0.2">
      <c r="A630" s="20" t="s">
        <v>14</v>
      </c>
    </row>
    <row r="631" spans="1:1" x14ac:dyDescent="0.2">
      <c r="A631" s="21">
        <v>1.76</v>
      </c>
    </row>
    <row r="632" spans="1:1" x14ac:dyDescent="0.2">
      <c r="A632" s="21">
        <v>-0.18</v>
      </c>
    </row>
    <row r="633" spans="1:1" x14ac:dyDescent="0.2">
      <c r="A633" s="21">
        <v>-80.78</v>
      </c>
    </row>
    <row r="634" spans="1:1" x14ac:dyDescent="0.2">
      <c r="A634" s="22">
        <v>-79.2</v>
      </c>
    </row>
    <row r="635" spans="1:1" x14ac:dyDescent="0.2">
      <c r="A635" s="23" t="s">
        <v>167</v>
      </c>
    </row>
    <row r="636" spans="1:1" x14ac:dyDescent="0.2">
      <c r="A636" s="23" t="s">
        <v>168</v>
      </c>
    </row>
    <row r="637" spans="1:1" x14ac:dyDescent="0.2">
      <c r="A637" s="20" t="s">
        <v>14</v>
      </c>
    </row>
    <row r="638" spans="1:1" x14ac:dyDescent="0.2">
      <c r="A638" s="21">
        <v>0.48</v>
      </c>
    </row>
    <row r="639" spans="1:1" x14ac:dyDescent="0.2">
      <c r="A639" s="21">
        <v>-0.05</v>
      </c>
    </row>
    <row r="640" spans="1:1" x14ac:dyDescent="0.2">
      <c r="A640" s="21">
        <v>-11.02</v>
      </c>
    </row>
    <row r="641" spans="1:1" x14ac:dyDescent="0.2">
      <c r="A641" s="22">
        <v>-10.58</v>
      </c>
    </row>
    <row r="642" spans="1:1" x14ac:dyDescent="0.2">
      <c r="A642" s="23" t="s">
        <v>169</v>
      </c>
    </row>
    <row r="643" spans="1:1" x14ac:dyDescent="0.2">
      <c r="A643" s="23" t="s">
        <v>168</v>
      </c>
    </row>
    <row r="644" spans="1:1" x14ac:dyDescent="0.2">
      <c r="A644" s="20" t="s">
        <v>14</v>
      </c>
    </row>
    <row r="645" spans="1:1" x14ac:dyDescent="0.2">
      <c r="A645" s="19" t="s">
        <v>28</v>
      </c>
    </row>
    <row r="646" spans="1:1" x14ac:dyDescent="0.2">
      <c r="A646" s="21">
        <v>91.8</v>
      </c>
    </row>
    <row r="647" spans="1:1" x14ac:dyDescent="0.2">
      <c r="A647" s="22">
        <v>91.8</v>
      </c>
    </row>
    <row r="648" spans="1:1" x14ac:dyDescent="0.2">
      <c r="A648" s="23" t="s">
        <v>170</v>
      </c>
    </row>
    <row r="649" spans="1:1" x14ac:dyDescent="0.2">
      <c r="A649" s="23" t="s">
        <v>171</v>
      </c>
    </row>
    <row r="650" spans="1:1" x14ac:dyDescent="0.2">
      <c r="A650" s="20" t="s">
        <v>41</v>
      </c>
    </row>
    <row r="651" spans="1:1" x14ac:dyDescent="0.2">
      <c r="A651" s="21">
        <v>-0.4</v>
      </c>
    </row>
    <row r="652" spans="1:1" x14ac:dyDescent="0.2">
      <c r="A652" s="21">
        <v>3</v>
      </c>
    </row>
    <row r="653" spans="1:1" x14ac:dyDescent="0.2">
      <c r="A653" s="22">
        <v>2.6</v>
      </c>
    </row>
    <row r="654" spans="1:1" x14ac:dyDescent="0.2">
      <c r="A654" s="23" t="s">
        <v>172</v>
      </c>
    </row>
    <row r="655" spans="1:1" x14ac:dyDescent="0.2">
      <c r="A655" s="23" t="s">
        <v>173</v>
      </c>
    </row>
    <row r="656" spans="1:1" x14ac:dyDescent="0.2">
      <c r="A656" s="20" t="s">
        <v>41</v>
      </c>
    </row>
    <row r="657" spans="1:1" x14ac:dyDescent="0.2">
      <c r="A657" s="21">
        <v>0.05</v>
      </c>
    </row>
    <row r="658" spans="1:1" x14ac:dyDescent="0.2">
      <c r="A658" s="21">
        <v>-0.01</v>
      </c>
    </row>
    <row r="659" spans="1:1" x14ac:dyDescent="0.2">
      <c r="A659" s="21">
        <v>0.6</v>
      </c>
    </row>
    <row r="660" spans="1:1" x14ac:dyDescent="0.2">
      <c r="A660" s="22">
        <v>0.65</v>
      </c>
    </row>
    <row r="661" spans="1:1" x14ac:dyDescent="0.2">
      <c r="A661" s="23" t="s">
        <v>174</v>
      </c>
    </row>
    <row r="662" spans="1:1" x14ac:dyDescent="0.2">
      <c r="A662" s="23" t="s">
        <v>173</v>
      </c>
    </row>
    <row r="663" spans="1:1" x14ac:dyDescent="0.2">
      <c r="A663" s="20" t="s">
        <v>41</v>
      </c>
    </row>
    <row r="664" spans="1:1" x14ac:dyDescent="0.2">
      <c r="A664" s="21">
        <v>-0.5</v>
      </c>
    </row>
    <row r="665" spans="1:1" x14ac:dyDescent="0.2">
      <c r="A665" s="21">
        <v>3.75</v>
      </c>
    </row>
    <row r="666" spans="1:1" x14ac:dyDescent="0.2">
      <c r="A666" s="22">
        <v>3.25</v>
      </c>
    </row>
    <row r="667" spans="1:1" x14ac:dyDescent="0.2">
      <c r="A667" s="23" t="s">
        <v>175</v>
      </c>
    </row>
    <row r="668" spans="1:1" x14ac:dyDescent="0.2">
      <c r="A668" s="23" t="s">
        <v>176</v>
      </c>
    </row>
    <row r="669" spans="1:1" x14ac:dyDescent="0.2">
      <c r="A669" s="20" t="s">
        <v>146</v>
      </c>
    </row>
    <row r="670" spans="1:1" x14ac:dyDescent="0.2">
      <c r="A670" s="19" t="s">
        <v>28</v>
      </c>
    </row>
    <row r="671" spans="1:1" x14ac:dyDescent="0.2">
      <c r="A671" s="21">
        <v>-83.16</v>
      </c>
    </row>
    <row r="672" spans="1:1" x14ac:dyDescent="0.2">
      <c r="A672" s="22">
        <v>-83.16</v>
      </c>
    </row>
    <row r="673" spans="1:1" x14ac:dyDescent="0.2">
      <c r="A673" s="23" t="s">
        <v>177</v>
      </c>
    </row>
    <row r="674" spans="1:1" x14ac:dyDescent="0.2">
      <c r="A674" s="23" t="s">
        <v>178</v>
      </c>
    </row>
    <row r="675" spans="1:1" x14ac:dyDescent="0.2">
      <c r="A675" s="20" t="s">
        <v>146</v>
      </c>
    </row>
    <row r="676" spans="1:1" x14ac:dyDescent="0.2">
      <c r="A676" s="19" t="s">
        <v>28</v>
      </c>
    </row>
    <row r="677" spans="1:1" x14ac:dyDescent="0.2">
      <c r="A677" s="21">
        <v>-167.19</v>
      </c>
    </row>
    <row r="678" spans="1:1" x14ac:dyDescent="0.2">
      <c r="A678" s="22">
        <v>-167.19</v>
      </c>
    </row>
    <row r="679" spans="1:1" x14ac:dyDescent="0.2">
      <c r="A679" s="23" t="s">
        <v>179</v>
      </c>
    </row>
    <row r="680" spans="1:1" x14ac:dyDescent="0.2">
      <c r="A680" s="23" t="s">
        <v>180</v>
      </c>
    </row>
    <row r="681" spans="1:1" x14ac:dyDescent="0.2">
      <c r="A681" s="20" t="s">
        <v>146</v>
      </c>
    </row>
    <row r="682" spans="1:1" x14ac:dyDescent="0.2">
      <c r="A682" s="19" t="s">
        <v>28</v>
      </c>
    </row>
    <row r="683" spans="1:1" x14ac:dyDescent="0.2">
      <c r="A683" s="21">
        <v>39.69</v>
      </c>
    </row>
    <row r="684" spans="1:1" x14ac:dyDescent="0.2">
      <c r="A684" s="22">
        <v>39.69</v>
      </c>
    </row>
    <row r="685" spans="1:1" x14ac:dyDescent="0.2">
      <c r="A685" s="23" t="s">
        <v>181</v>
      </c>
    </row>
    <row r="686" spans="1:1" x14ac:dyDescent="0.2">
      <c r="A686" s="23" t="s">
        <v>182</v>
      </c>
    </row>
    <row r="687" spans="1:1" x14ac:dyDescent="0.2">
      <c r="A687" s="20" t="s">
        <v>41</v>
      </c>
    </row>
    <row r="688" spans="1:1" x14ac:dyDescent="0.2">
      <c r="A688" s="21">
        <v>-1.79</v>
      </c>
    </row>
    <row r="689" spans="1:1" x14ac:dyDescent="0.2">
      <c r="A689" s="21">
        <v>16.739999999999998</v>
      </c>
    </row>
    <row r="690" spans="1:1" x14ac:dyDescent="0.2">
      <c r="A690" s="22">
        <v>14.95</v>
      </c>
    </row>
    <row r="691" spans="1:1" x14ac:dyDescent="0.2">
      <c r="A691" s="23" t="s">
        <v>183</v>
      </c>
    </row>
    <row r="692" spans="1:1" x14ac:dyDescent="0.2">
      <c r="A692" s="23" t="s">
        <v>182</v>
      </c>
    </row>
    <row r="693" spans="1:1" x14ac:dyDescent="0.2">
      <c r="A693" s="20" t="s">
        <v>146</v>
      </c>
    </row>
    <row r="694" spans="1:1" x14ac:dyDescent="0.2">
      <c r="A694" s="19" t="s">
        <v>28</v>
      </c>
    </row>
    <row r="695" spans="1:1" x14ac:dyDescent="0.2">
      <c r="A695" s="21">
        <v>37.799999999999997</v>
      </c>
    </row>
    <row r="696" spans="1:1" x14ac:dyDescent="0.2">
      <c r="A696" s="22">
        <v>37.799999999999997</v>
      </c>
    </row>
    <row r="697" spans="1:1" x14ac:dyDescent="0.2">
      <c r="A697" s="23" t="s">
        <v>184</v>
      </c>
    </row>
    <row r="698" spans="1:1" x14ac:dyDescent="0.2">
      <c r="A698" s="23" t="s">
        <v>185</v>
      </c>
    </row>
    <row r="699" spans="1:1" x14ac:dyDescent="0.2">
      <c r="A699" s="20" t="s">
        <v>146</v>
      </c>
    </row>
    <row r="700" spans="1:1" x14ac:dyDescent="0.2">
      <c r="A700" s="19" t="s">
        <v>28</v>
      </c>
    </row>
    <row r="701" spans="1:1" x14ac:dyDescent="0.2">
      <c r="A701" s="21">
        <v>16.420000000000002</v>
      </c>
    </row>
    <row r="702" spans="1:1" x14ac:dyDescent="0.2">
      <c r="A702" s="22">
        <v>16.420000000000002</v>
      </c>
    </row>
    <row r="703" spans="1:1" x14ac:dyDescent="0.2">
      <c r="A703" s="23" t="s">
        <v>70</v>
      </c>
    </row>
    <row r="704" spans="1:1" x14ac:dyDescent="0.2">
      <c r="A704" s="23" t="s">
        <v>186</v>
      </c>
    </row>
    <row r="705" spans="1:1" x14ac:dyDescent="0.2">
      <c r="A705" s="20" t="s">
        <v>146</v>
      </c>
    </row>
    <row r="706" spans="1:1" x14ac:dyDescent="0.2">
      <c r="A706" s="19" t="s">
        <v>28</v>
      </c>
    </row>
    <row r="707" spans="1:1" x14ac:dyDescent="0.2">
      <c r="A707" s="21">
        <v>4.0999999999999996</v>
      </c>
    </row>
    <row r="708" spans="1:1" x14ac:dyDescent="0.2">
      <c r="A708" s="22">
        <v>4.0999999999999996</v>
      </c>
    </row>
    <row r="709" spans="1:1" x14ac:dyDescent="0.2">
      <c r="A709" s="23" t="s">
        <v>187</v>
      </c>
    </row>
    <row r="710" spans="1:1" x14ac:dyDescent="0.2">
      <c r="A710" s="23" t="s">
        <v>188</v>
      </c>
    </row>
    <row r="711" spans="1:1" x14ac:dyDescent="0.2">
      <c r="A711" s="20" t="s">
        <v>41</v>
      </c>
    </row>
    <row r="712" spans="1:1" x14ac:dyDescent="0.2">
      <c r="A712" s="19" t="s">
        <v>28</v>
      </c>
    </row>
    <row r="713" spans="1:1" x14ac:dyDescent="0.2">
      <c r="A713" s="21">
        <v>-16.8</v>
      </c>
    </row>
    <row r="714" spans="1:1" x14ac:dyDescent="0.2">
      <c r="A714" s="22">
        <v>-16.8</v>
      </c>
    </row>
    <row r="715" spans="1:1" x14ac:dyDescent="0.2">
      <c r="A715" s="23" t="s">
        <v>189</v>
      </c>
    </row>
    <row r="716" spans="1:1" x14ac:dyDescent="0.2">
      <c r="A716" s="23" t="s">
        <v>190</v>
      </c>
    </row>
    <row r="717" spans="1:1" x14ac:dyDescent="0.2">
      <c r="A717" s="20" t="s">
        <v>146</v>
      </c>
    </row>
    <row r="718" spans="1:1" x14ac:dyDescent="0.2">
      <c r="A718" s="19" t="s">
        <v>28</v>
      </c>
    </row>
    <row r="719" spans="1:1" x14ac:dyDescent="0.2">
      <c r="A719" s="21">
        <v>1.58</v>
      </c>
    </row>
    <row r="720" spans="1:1" x14ac:dyDescent="0.2">
      <c r="A720" s="22">
        <v>1.58</v>
      </c>
    </row>
    <row r="721" spans="1:1" x14ac:dyDescent="0.2">
      <c r="A721" s="23" t="s">
        <v>191</v>
      </c>
    </row>
    <row r="722" spans="1:1" x14ac:dyDescent="0.2">
      <c r="A722" s="23" t="s">
        <v>192</v>
      </c>
    </row>
    <row r="723" spans="1:1" x14ac:dyDescent="0.2">
      <c r="A723" s="20" t="s">
        <v>146</v>
      </c>
    </row>
    <row r="724" spans="1:1" x14ac:dyDescent="0.2">
      <c r="A724" s="19" t="s">
        <v>28</v>
      </c>
    </row>
    <row r="725" spans="1:1" x14ac:dyDescent="0.2">
      <c r="A725" s="21">
        <v>0.14000000000000001</v>
      </c>
    </row>
    <row r="726" spans="1:1" x14ac:dyDescent="0.2">
      <c r="A726" s="22">
        <v>0.14000000000000001</v>
      </c>
    </row>
    <row r="727" spans="1:1" x14ac:dyDescent="0.2">
      <c r="A727" s="23" t="s">
        <v>193</v>
      </c>
    </row>
    <row r="728" spans="1:1" x14ac:dyDescent="0.2">
      <c r="A728" s="23" t="s">
        <v>194</v>
      </c>
    </row>
    <row r="729" spans="1:1" x14ac:dyDescent="0.2">
      <c r="A729" s="20" t="s">
        <v>146</v>
      </c>
    </row>
    <row r="730" spans="1:1" x14ac:dyDescent="0.2">
      <c r="A730" s="19" t="s">
        <v>28</v>
      </c>
    </row>
    <row r="731" spans="1:1" x14ac:dyDescent="0.2">
      <c r="A731" s="21">
        <v>14.4</v>
      </c>
    </row>
    <row r="732" spans="1:1" x14ac:dyDescent="0.2">
      <c r="A732" s="22">
        <v>14.4</v>
      </c>
    </row>
    <row r="733" spans="1:1" x14ac:dyDescent="0.2">
      <c r="A733" s="23" t="s">
        <v>195</v>
      </c>
    </row>
    <row r="734" spans="1:1" x14ac:dyDescent="0.2">
      <c r="A734" s="23" t="s">
        <v>196</v>
      </c>
    </row>
    <row r="735" spans="1:1" x14ac:dyDescent="0.2">
      <c r="A735" s="20" t="s">
        <v>146</v>
      </c>
    </row>
    <row r="736" spans="1:1" x14ac:dyDescent="0.2">
      <c r="A736" s="19" t="s">
        <v>28</v>
      </c>
    </row>
    <row r="737" spans="1:1" x14ac:dyDescent="0.2">
      <c r="A737" s="21">
        <v>12.67</v>
      </c>
    </row>
    <row r="738" spans="1:1" x14ac:dyDescent="0.2">
      <c r="A738" s="22">
        <v>12.67</v>
      </c>
    </row>
    <row r="739" spans="1:1" x14ac:dyDescent="0.2">
      <c r="A739" s="23" t="s">
        <v>197</v>
      </c>
    </row>
    <row r="740" spans="1:1" x14ac:dyDescent="0.2">
      <c r="A740" s="23" t="s">
        <v>198</v>
      </c>
    </row>
    <row r="741" spans="1:1" x14ac:dyDescent="0.2">
      <c r="A741" s="20" t="s">
        <v>41</v>
      </c>
    </row>
    <row r="742" spans="1:1" x14ac:dyDescent="0.2">
      <c r="A742" s="19" t="s">
        <v>28</v>
      </c>
    </row>
    <row r="743" spans="1:1" x14ac:dyDescent="0.2">
      <c r="A743" s="21">
        <v>-16.350000000000001</v>
      </c>
    </row>
    <row r="744" spans="1:1" x14ac:dyDescent="0.2">
      <c r="A744" s="22">
        <v>-16.350000000000001</v>
      </c>
    </row>
    <row r="745" spans="1:1" x14ac:dyDescent="0.2">
      <c r="A745" s="23" t="s">
        <v>199</v>
      </c>
    </row>
    <row r="746" spans="1:1" x14ac:dyDescent="0.2">
      <c r="A746" s="23" t="s">
        <v>200</v>
      </c>
    </row>
    <row r="747" spans="1:1" x14ac:dyDescent="0.2">
      <c r="A747" s="20" t="s">
        <v>41</v>
      </c>
    </row>
    <row r="748" spans="1:1" x14ac:dyDescent="0.2">
      <c r="A748" s="19" t="s">
        <v>28</v>
      </c>
    </row>
    <row r="749" spans="1:1" x14ac:dyDescent="0.2">
      <c r="A749" s="21">
        <v>-7.14</v>
      </c>
    </row>
    <row r="750" spans="1:1" x14ac:dyDescent="0.2">
      <c r="A750" s="22">
        <v>-7.14</v>
      </c>
    </row>
    <row r="751" spans="1:1" x14ac:dyDescent="0.2">
      <c r="A751" s="23" t="s">
        <v>201</v>
      </c>
    </row>
    <row r="752" spans="1:1" x14ac:dyDescent="0.2">
      <c r="A752" s="23" t="s">
        <v>200</v>
      </c>
    </row>
    <row r="753" spans="1:1" x14ac:dyDescent="0.2">
      <c r="A753" s="20" t="s">
        <v>18</v>
      </c>
    </row>
    <row r="754" spans="1:1" x14ac:dyDescent="0.2">
      <c r="A754" s="19" t="s">
        <v>28</v>
      </c>
    </row>
    <row r="755" spans="1:1" x14ac:dyDescent="0.2">
      <c r="A755" s="21">
        <v>-53.2</v>
      </c>
    </row>
    <row r="756" spans="1:1" x14ac:dyDescent="0.2">
      <c r="A756" s="22">
        <v>-53.2</v>
      </c>
    </row>
    <row r="757" spans="1:1" x14ac:dyDescent="0.2">
      <c r="A757" s="23" t="s">
        <v>202</v>
      </c>
    </row>
    <row r="758" spans="1:1" x14ac:dyDescent="0.2">
      <c r="A758" s="23" t="s">
        <v>203</v>
      </c>
    </row>
    <row r="759" spans="1:1" x14ac:dyDescent="0.2">
      <c r="A759" s="20" t="s">
        <v>18</v>
      </c>
    </row>
    <row r="760" spans="1:1" x14ac:dyDescent="0.2">
      <c r="A760" s="19" t="s">
        <v>28</v>
      </c>
    </row>
    <row r="761" spans="1:1" x14ac:dyDescent="0.2">
      <c r="A761" s="21">
        <v>-84</v>
      </c>
    </row>
    <row r="762" spans="1:1" x14ac:dyDescent="0.2">
      <c r="A762" s="22">
        <v>-84</v>
      </c>
    </row>
    <row r="763" spans="1:1" x14ac:dyDescent="0.2">
      <c r="A763" s="23" t="s">
        <v>204</v>
      </c>
    </row>
    <row r="764" spans="1:1" x14ac:dyDescent="0.2">
      <c r="A764" s="23" t="s">
        <v>205</v>
      </c>
    </row>
    <row r="765" spans="1:1" x14ac:dyDescent="0.2">
      <c r="A765" s="20" t="s">
        <v>18</v>
      </c>
    </row>
    <row r="766" spans="1:1" x14ac:dyDescent="0.2">
      <c r="A766" s="19" t="s">
        <v>28</v>
      </c>
    </row>
    <row r="767" spans="1:1" x14ac:dyDescent="0.2">
      <c r="A767" s="21">
        <v>-97.2</v>
      </c>
    </row>
    <row r="768" spans="1:1" x14ac:dyDescent="0.2">
      <c r="A768" s="22">
        <v>-97.2</v>
      </c>
    </row>
    <row r="769" spans="1:1" x14ac:dyDescent="0.2">
      <c r="A769" s="23" t="s">
        <v>206</v>
      </c>
    </row>
    <row r="770" spans="1:1" x14ac:dyDescent="0.2">
      <c r="A770" s="23" t="s">
        <v>207</v>
      </c>
    </row>
    <row r="771" spans="1:1" x14ac:dyDescent="0.2">
      <c r="A771" s="20" t="s">
        <v>18</v>
      </c>
    </row>
    <row r="772" spans="1:1" x14ac:dyDescent="0.2">
      <c r="A772" s="19" t="s">
        <v>28</v>
      </c>
    </row>
    <row r="773" spans="1:1" x14ac:dyDescent="0.2">
      <c r="A773" s="21">
        <v>-129</v>
      </c>
    </row>
    <row r="774" spans="1:1" x14ac:dyDescent="0.2">
      <c r="A774" s="22">
        <v>-129</v>
      </c>
    </row>
    <row r="775" spans="1:1" x14ac:dyDescent="0.2">
      <c r="A775" s="23" t="s">
        <v>208</v>
      </c>
    </row>
    <row r="776" spans="1:1" x14ac:dyDescent="0.2">
      <c r="A776" s="23" t="s">
        <v>209</v>
      </c>
    </row>
    <row r="777" spans="1:1" x14ac:dyDescent="0.2">
      <c r="A777" s="20" t="s">
        <v>146</v>
      </c>
    </row>
    <row r="778" spans="1:1" x14ac:dyDescent="0.2">
      <c r="A778" s="21">
        <v>0.02</v>
      </c>
    </row>
    <row r="779" spans="1:1" x14ac:dyDescent="0.2">
      <c r="A779" s="21">
        <v>0</v>
      </c>
    </row>
    <row r="780" spans="1:1" x14ac:dyDescent="0.2">
      <c r="A780" s="21">
        <v>-0.16</v>
      </c>
    </row>
    <row r="781" spans="1:1" x14ac:dyDescent="0.2">
      <c r="A781" s="22">
        <v>-0.14000000000000001</v>
      </c>
    </row>
    <row r="782" spans="1:1" x14ac:dyDescent="0.2">
      <c r="A782" s="23" t="s">
        <v>210</v>
      </c>
    </row>
    <row r="783" spans="1:1" x14ac:dyDescent="0.2">
      <c r="A783" s="23" t="s">
        <v>211</v>
      </c>
    </row>
    <row r="784" spans="1:1" x14ac:dyDescent="0.2">
      <c r="A784" s="20" t="s">
        <v>146</v>
      </c>
    </row>
    <row r="785" spans="1:1" x14ac:dyDescent="0.2">
      <c r="A785" s="21">
        <v>0.2</v>
      </c>
    </row>
    <row r="786" spans="1:1" x14ac:dyDescent="0.2">
      <c r="A786" s="21">
        <v>-0.02</v>
      </c>
    </row>
    <row r="787" spans="1:1" x14ac:dyDescent="0.2">
      <c r="A787" s="21">
        <v>-1.62</v>
      </c>
    </row>
    <row r="788" spans="1:1" x14ac:dyDescent="0.2">
      <c r="A788" s="22">
        <v>-1.44</v>
      </c>
    </row>
    <row r="789" spans="1:1" x14ac:dyDescent="0.2">
      <c r="A789" s="23" t="s">
        <v>212</v>
      </c>
    </row>
    <row r="790" spans="1:1" x14ac:dyDescent="0.2">
      <c r="A790" s="23" t="s">
        <v>211</v>
      </c>
    </row>
    <row r="791" spans="1:1" x14ac:dyDescent="0.2">
      <c r="A791" s="20" t="s">
        <v>18</v>
      </c>
    </row>
    <row r="792" spans="1:1" x14ac:dyDescent="0.2">
      <c r="A792" s="19" t="s">
        <v>28</v>
      </c>
    </row>
    <row r="793" spans="1:1" x14ac:dyDescent="0.2">
      <c r="A793" s="21">
        <v>-21.75</v>
      </c>
    </row>
    <row r="794" spans="1:1" x14ac:dyDescent="0.2">
      <c r="A794" s="22">
        <v>-21.75</v>
      </c>
    </row>
    <row r="795" spans="1:1" x14ac:dyDescent="0.2">
      <c r="A795" s="23" t="s">
        <v>213</v>
      </c>
    </row>
    <row r="796" spans="1:1" x14ac:dyDescent="0.2">
      <c r="A796" s="23" t="s">
        <v>214</v>
      </c>
    </row>
    <row r="797" spans="1:1" x14ac:dyDescent="0.2">
      <c r="A797" s="20" t="s">
        <v>146</v>
      </c>
    </row>
    <row r="798" spans="1:1" x14ac:dyDescent="0.2">
      <c r="A798" s="19" t="s">
        <v>28</v>
      </c>
    </row>
    <row r="799" spans="1:1" x14ac:dyDescent="0.2">
      <c r="A799" s="21">
        <v>0.16</v>
      </c>
    </row>
    <row r="800" spans="1:1" x14ac:dyDescent="0.2">
      <c r="A800" s="22">
        <v>0.16</v>
      </c>
    </row>
    <row r="801" spans="1:1" x14ac:dyDescent="0.2">
      <c r="A801" s="23" t="s">
        <v>215</v>
      </c>
    </row>
    <row r="802" spans="1:1" x14ac:dyDescent="0.2">
      <c r="A802" s="23" t="s">
        <v>216</v>
      </c>
    </row>
    <row r="803" spans="1:1" x14ac:dyDescent="0.2">
      <c r="A803" s="20" t="s">
        <v>146</v>
      </c>
    </row>
    <row r="804" spans="1:1" x14ac:dyDescent="0.2">
      <c r="A804" s="19" t="s">
        <v>28</v>
      </c>
    </row>
    <row r="805" spans="1:1" x14ac:dyDescent="0.2">
      <c r="A805" s="21">
        <v>1.62</v>
      </c>
    </row>
    <row r="806" spans="1:1" x14ac:dyDescent="0.2">
      <c r="A806" s="22">
        <v>1.62</v>
      </c>
    </row>
    <row r="807" spans="1:1" x14ac:dyDescent="0.2">
      <c r="A807" s="23" t="s">
        <v>217</v>
      </c>
    </row>
    <row r="808" spans="1:1" x14ac:dyDescent="0.2">
      <c r="A808" s="23" t="s">
        <v>218</v>
      </c>
    </row>
    <row r="809" spans="1:1" x14ac:dyDescent="0.2">
      <c r="A809" s="20" t="s">
        <v>18</v>
      </c>
    </row>
    <row r="810" spans="1:1" x14ac:dyDescent="0.2">
      <c r="A810" s="19" t="s">
        <v>28</v>
      </c>
    </row>
    <row r="811" spans="1:1" x14ac:dyDescent="0.2">
      <c r="A811" s="21">
        <v>-8.6999999999999993</v>
      </c>
    </row>
    <row r="812" spans="1:1" x14ac:dyDescent="0.2">
      <c r="A812" s="22">
        <v>-8.6999999999999993</v>
      </c>
    </row>
    <row r="813" spans="1:1" x14ac:dyDescent="0.2">
      <c r="A813" s="23" t="s">
        <v>219</v>
      </c>
    </row>
    <row r="814" spans="1:1" x14ac:dyDescent="0.2">
      <c r="A814" s="23" t="s">
        <v>220</v>
      </c>
    </row>
    <row r="815" spans="1:1" x14ac:dyDescent="0.2">
      <c r="A815" s="20" t="s">
        <v>18</v>
      </c>
    </row>
    <row r="816" spans="1:1" x14ac:dyDescent="0.2">
      <c r="A816" s="19" t="s">
        <v>28</v>
      </c>
    </row>
    <row r="817" spans="1:1" x14ac:dyDescent="0.2">
      <c r="A817" s="21">
        <v>-111.76</v>
      </c>
    </row>
    <row r="818" spans="1:1" x14ac:dyDescent="0.2">
      <c r="A818" s="22">
        <v>-111.76</v>
      </c>
    </row>
    <row r="819" spans="1:1" x14ac:dyDescent="0.2">
      <c r="A819" s="23" t="s">
        <v>221</v>
      </c>
    </row>
    <row r="820" spans="1:1" x14ac:dyDescent="0.2">
      <c r="A820" s="23" t="s">
        <v>222</v>
      </c>
    </row>
    <row r="821" spans="1:1" x14ac:dyDescent="0.2">
      <c r="A821" s="20" t="s">
        <v>18</v>
      </c>
    </row>
    <row r="822" spans="1:1" x14ac:dyDescent="0.2">
      <c r="A822" s="19" t="s">
        <v>28</v>
      </c>
    </row>
    <row r="823" spans="1:1" x14ac:dyDescent="0.2">
      <c r="A823" s="21">
        <v>-96.57</v>
      </c>
    </row>
    <row r="824" spans="1:1" x14ac:dyDescent="0.2">
      <c r="A824" s="22">
        <v>-96.57</v>
      </c>
    </row>
    <row r="825" spans="1:1" x14ac:dyDescent="0.2">
      <c r="A825" s="23" t="s">
        <v>223</v>
      </c>
    </row>
    <row r="826" spans="1:1" x14ac:dyDescent="0.2">
      <c r="A826" s="23" t="s">
        <v>222</v>
      </c>
    </row>
    <row r="827" spans="1:1" x14ac:dyDescent="0.2">
      <c r="A827" s="20" t="s">
        <v>18</v>
      </c>
    </row>
    <row r="828" spans="1:1" x14ac:dyDescent="0.2">
      <c r="A828" s="21">
        <v>6.24</v>
      </c>
    </row>
    <row r="829" spans="1:1" x14ac:dyDescent="0.2">
      <c r="A829" s="21">
        <v>-0.62</v>
      </c>
    </row>
    <row r="830" spans="1:1" x14ac:dyDescent="0.2">
      <c r="A830" s="21">
        <v>63.18</v>
      </c>
    </row>
    <row r="831" spans="1:1" x14ac:dyDescent="0.2">
      <c r="A831" s="22">
        <v>68.8</v>
      </c>
    </row>
    <row r="832" spans="1:1" x14ac:dyDescent="0.2">
      <c r="A832" s="23" t="s">
        <v>224</v>
      </c>
    </row>
    <row r="833" spans="1:1" x14ac:dyDescent="0.2">
      <c r="A833" s="23" t="s">
        <v>225</v>
      </c>
    </row>
    <row r="834" spans="1:1" x14ac:dyDescent="0.2">
      <c r="A834" s="20" t="s">
        <v>18</v>
      </c>
    </row>
    <row r="835" spans="1:1" x14ac:dyDescent="0.2">
      <c r="A835" s="21">
        <v>119.12</v>
      </c>
    </row>
    <row r="836" spans="1:1" x14ac:dyDescent="0.2">
      <c r="A836" s="21">
        <v>-11.91</v>
      </c>
    </row>
    <row r="837" spans="1:1" x14ac:dyDescent="0.2">
      <c r="A837" s="21">
        <v>540.37</v>
      </c>
    </row>
    <row r="838" spans="1:1" x14ac:dyDescent="0.2">
      <c r="A838" s="22">
        <v>647.58000000000004</v>
      </c>
    </row>
    <row r="839" spans="1:1" x14ac:dyDescent="0.2">
      <c r="A839" s="23" t="s">
        <v>226</v>
      </c>
    </row>
    <row r="840" spans="1:1" x14ac:dyDescent="0.2">
      <c r="A840" s="23" t="s">
        <v>225</v>
      </c>
    </row>
    <row r="841" spans="1:1" x14ac:dyDescent="0.2">
      <c r="A841" s="20" t="s">
        <v>41</v>
      </c>
    </row>
    <row r="842" spans="1:1" x14ac:dyDescent="0.2">
      <c r="A842" s="21">
        <v>5.04</v>
      </c>
    </row>
    <row r="843" spans="1:1" x14ac:dyDescent="0.2">
      <c r="A843" s="21">
        <v>-0.5</v>
      </c>
    </row>
    <row r="844" spans="1:1" x14ac:dyDescent="0.2">
      <c r="A844" s="21">
        <v>5.76</v>
      </c>
    </row>
    <row r="845" spans="1:1" x14ac:dyDescent="0.2">
      <c r="A845" s="22">
        <v>10.3</v>
      </c>
    </row>
    <row r="846" spans="1:1" x14ac:dyDescent="0.2">
      <c r="A846" s="23" t="s">
        <v>227</v>
      </c>
    </row>
    <row r="847" spans="1:1" x14ac:dyDescent="0.2">
      <c r="A847" s="23" t="s">
        <v>228</v>
      </c>
    </row>
    <row r="848" spans="1:1" x14ac:dyDescent="0.2">
      <c r="A848" s="20" t="s">
        <v>41</v>
      </c>
    </row>
    <row r="849" spans="1:1" x14ac:dyDescent="0.2">
      <c r="A849" s="21">
        <v>1.89</v>
      </c>
    </row>
    <row r="850" spans="1:1" x14ac:dyDescent="0.2">
      <c r="A850" s="21">
        <v>-0.19</v>
      </c>
    </row>
    <row r="851" spans="1:1" x14ac:dyDescent="0.2">
      <c r="A851" s="21">
        <v>2.16</v>
      </c>
    </row>
    <row r="852" spans="1:1" x14ac:dyDescent="0.2">
      <c r="A852" s="22">
        <v>3.86</v>
      </c>
    </row>
    <row r="853" spans="1:1" x14ac:dyDescent="0.2">
      <c r="A853" s="23" t="s">
        <v>229</v>
      </c>
    </row>
    <row r="854" spans="1:1" x14ac:dyDescent="0.2">
      <c r="A854" s="23" t="s">
        <v>230</v>
      </c>
    </row>
    <row r="855" spans="1:1" x14ac:dyDescent="0.2">
      <c r="A855" s="20" t="s">
        <v>118</v>
      </c>
    </row>
    <row r="856" spans="1:1" x14ac:dyDescent="0.2">
      <c r="A856" s="21">
        <v>4</v>
      </c>
    </row>
    <row r="857" spans="1:1" x14ac:dyDescent="0.2">
      <c r="A857" s="21">
        <v>-0.4</v>
      </c>
    </row>
    <row r="858" spans="1:1" x14ac:dyDescent="0.2">
      <c r="A858" s="21">
        <v>7.2</v>
      </c>
    </row>
    <row r="859" spans="1:1" x14ac:dyDescent="0.2">
      <c r="A859" s="22">
        <v>10.8</v>
      </c>
    </row>
    <row r="860" spans="1:1" x14ac:dyDescent="0.2">
      <c r="A860" s="23" t="s">
        <v>231</v>
      </c>
    </row>
    <row r="861" spans="1:1" x14ac:dyDescent="0.2">
      <c r="A861" s="23" t="s">
        <v>230</v>
      </c>
    </row>
    <row r="862" spans="1:1" x14ac:dyDescent="0.2">
      <c r="A862" s="20" t="s">
        <v>18</v>
      </c>
    </row>
    <row r="863" spans="1:1" x14ac:dyDescent="0.2">
      <c r="A863" s="19" t="s">
        <v>28</v>
      </c>
    </row>
    <row r="864" spans="1:1" x14ac:dyDescent="0.2">
      <c r="A864" s="21">
        <v>-63.18</v>
      </c>
    </row>
    <row r="865" spans="1:1" x14ac:dyDescent="0.2">
      <c r="A865" s="22">
        <v>-63.18</v>
      </c>
    </row>
    <row r="866" spans="1:1" x14ac:dyDescent="0.2">
      <c r="A866" s="23" t="s">
        <v>232</v>
      </c>
    </row>
    <row r="867" spans="1:1" x14ac:dyDescent="0.2">
      <c r="A867" s="23" t="s">
        <v>233</v>
      </c>
    </row>
    <row r="868" spans="1:1" x14ac:dyDescent="0.2">
      <c r="A868" s="20" t="s">
        <v>18</v>
      </c>
    </row>
    <row r="869" spans="1:1" x14ac:dyDescent="0.2">
      <c r="A869" s="19" t="s">
        <v>28</v>
      </c>
    </row>
    <row r="870" spans="1:1" x14ac:dyDescent="0.2">
      <c r="A870" s="21">
        <v>-11.34</v>
      </c>
    </row>
    <row r="871" spans="1:1" x14ac:dyDescent="0.2">
      <c r="A871" s="22">
        <v>-11.34</v>
      </c>
    </row>
    <row r="872" spans="1:1" x14ac:dyDescent="0.2">
      <c r="A872" s="23" t="s">
        <v>234</v>
      </c>
    </row>
    <row r="873" spans="1:1" x14ac:dyDescent="0.2">
      <c r="A873" s="23" t="s">
        <v>235</v>
      </c>
    </row>
    <row r="874" spans="1:1" x14ac:dyDescent="0.2">
      <c r="A874" s="20" t="s">
        <v>18</v>
      </c>
    </row>
    <row r="875" spans="1:1" x14ac:dyDescent="0.2">
      <c r="A875" s="19" t="s">
        <v>28</v>
      </c>
    </row>
    <row r="876" spans="1:1" x14ac:dyDescent="0.2">
      <c r="A876" s="21">
        <v>-79.540000000000006</v>
      </c>
    </row>
    <row r="877" spans="1:1" x14ac:dyDescent="0.2">
      <c r="A877" s="22">
        <v>-79.540000000000006</v>
      </c>
    </row>
    <row r="878" spans="1:1" x14ac:dyDescent="0.2">
      <c r="A878" s="23" t="s">
        <v>236</v>
      </c>
    </row>
    <row r="879" spans="1:1" x14ac:dyDescent="0.2">
      <c r="A879" s="23" t="s">
        <v>237</v>
      </c>
    </row>
    <row r="880" spans="1:1" x14ac:dyDescent="0.2">
      <c r="A880" s="20" t="s">
        <v>18</v>
      </c>
    </row>
    <row r="881" spans="1:1" x14ac:dyDescent="0.2">
      <c r="A881" s="19" t="s">
        <v>28</v>
      </c>
    </row>
    <row r="882" spans="1:1" x14ac:dyDescent="0.2">
      <c r="A882" s="21">
        <v>-2.46</v>
      </c>
    </row>
    <row r="883" spans="1:1" x14ac:dyDescent="0.2">
      <c r="A883" s="22">
        <v>-2.46</v>
      </c>
    </row>
    <row r="884" spans="1:1" x14ac:dyDescent="0.2">
      <c r="A884" s="23" t="s">
        <v>238</v>
      </c>
    </row>
    <row r="885" spans="1:1" x14ac:dyDescent="0.2">
      <c r="A885" s="23" t="s">
        <v>239</v>
      </c>
    </row>
    <row r="886" spans="1:1" x14ac:dyDescent="0.2">
      <c r="A886" s="20" t="s">
        <v>41</v>
      </c>
    </row>
    <row r="887" spans="1:1" x14ac:dyDescent="0.2">
      <c r="A887" s="21">
        <v>0.09</v>
      </c>
    </row>
    <row r="888" spans="1:1" x14ac:dyDescent="0.2">
      <c r="A888" s="21">
        <v>-0.01</v>
      </c>
    </row>
    <row r="889" spans="1:1" x14ac:dyDescent="0.2">
      <c r="A889" s="21">
        <v>0.08</v>
      </c>
    </row>
    <row r="890" spans="1:1" x14ac:dyDescent="0.2">
      <c r="A890" s="22">
        <v>0.16</v>
      </c>
    </row>
    <row r="891" spans="1:1" x14ac:dyDescent="0.2">
      <c r="A891" s="23" t="s">
        <v>240</v>
      </c>
    </row>
    <row r="892" spans="1:1" x14ac:dyDescent="0.2">
      <c r="A892" s="23" t="s">
        <v>241</v>
      </c>
    </row>
    <row r="893" spans="1:1" x14ac:dyDescent="0.2">
      <c r="A893" s="20" t="s">
        <v>118</v>
      </c>
    </row>
    <row r="894" spans="1:1" x14ac:dyDescent="0.2">
      <c r="A894" s="21">
        <v>1.6</v>
      </c>
    </row>
    <row r="895" spans="1:1" x14ac:dyDescent="0.2">
      <c r="A895" s="21">
        <v>-0.16</v>
      </c>
    </row>
    <row r="896" spans="1:1" x14ac:dyDescent="0.2">
      <c r="A896" s="21">
        <v>1.8</v>
      </c>
    </row>
    <row r="897" spans="1:1" x14ac:dyDescent="0.2">
      <c r="A897" s="22">
        <v>3.24</v>
      </c>
    </row>
    <row r="898" spans="1:1" x14ac:dyDescent="0.2">
      <c r="A898" s="23" t="s">
        <v>242</v>
      </c>
    </row>
    <row r="899" spans="1:1" x14ac:dyDescent="0.2">
      <c r="A899" s="23" t="s">
        <v>243</v>
      </c>
    </row>
    <row r="900" spans="1:1" x14ac:dyDescent="0.2">
      <c r="A900" s="20" t="s">
        <v>41</v>
      </c>
    </row>
    <row r="901" spans="1:1" x14ac:dyDescent="0.2">
      <c r="A901" s="21">
        <v>8</v>
      </c>
    </row>
    <row r="902" spans="1:1" x14ac:dyDescent="0.2">
      <c r="A902" s="21">
        <v>-0.8</v>
      </c>
    </row>
    <row r="903" spans="1:1" x14ac:dyDescent="0.2">
      <c r="A903" s="21">
        <v>8</v>
      </c>
    </row>
    <row r="904" spans="1:1" x14ac:dyDescent="0.2">
      <c r="A904" s="22">
        <v>15.2</v>
      </c>
    </row>
    <row r="905" spans="1:1" x14ac:dyDescent="0.2">
      <c r="A905" s="23" t="s">
        <v>244</v>
      </c>
    </row>
    <row r="906" spans="1:1" x14ac:dyDescent="0.2">
      <c r="A906" s="23" t="s">
        <v>245</v>
      </c>
    </row>
    <row r="907" spans="1:1" x14ac:dyDescent="0.2">
      <c r="A907" s="20" t="s">
        <v>118</v>
      </c>
    </row>
    <row r="908" spans="1:1" x14ac:dyDescent="0.2">
      <c r="A908" s="21">
        <v>7</v>
      </c>
    </row>
    <row r="909" spans="1:1" x14ac:dyDescent="0.2">
      <c r="A909" s="21">
        <v>-0.7</v>
      </c>
    </row>
    <row r="910" spans="1:1" x14ac:dyDescent="0.2">
      <c r="A910" s="21">
        <v>9</v>
      </c>
    </row>
    <row r="911" spans="1:1" x14ac:dyDescent="0.2">
      <c r="A911" s="22">
        <v>15.3</v>
      </c>
    </row>
    <row r="912" spans="1:1" x14ac:dyDescent="0.2">
      <c r="A912" s="23" t="s">
        <v>244</v>
      </c>
    </row>
    <row r="913" spans="1:1" x14ac:dyDescent="0.2">
      <c r="A913" s="23" t="s">
        <v>245</v>
      </c>
    </row>
    <row r="914" spans="1:1" x14ac:dyDescent="0.2">
      <c r="A914" s="20" t="s">
        <v>14</v>
      </c>
    </row>
    <row r="915" spans="1:1" x14ac:dyDescent="0.2">
      <c r="A915" s="21">
        <v>5.31</v>
      </c>
    </row>
    <row r="916" spans="1:1" x14ac:dyDescent="0.2">
      <c r="A916" s="21">
        <v>-0.53</v>
      </c>
    </row>
    <row r="917" spans="1:1" x14ac:dyDescent="0.2">
      <c r="A917" s="21">
        <v>21.24</v>
      </c>
    </row>
    <row r="918" spans="1:1" x14ac:dyDescent="0.2">
      <c r="A918" s="22">
        <v>26.02</v>
      </c>
    </row>
    <row r="919" spans="1:1" x14ac:dyDescent="0.2">
      <c r="A919" s="23" t="s">
        <v>246</v>
      </c>
    </row>
    <row r="920" spans="1:1" x14ac:dyDescent="0.2">
      <c r="A920" s="23" t="s">
        <v>247</v>
      </c>
    </row>
    <row r="921" spans="1:1" x14ac:dyDescent="0.2">
      <c r="A921" s="20" t="s">
        <v>14</v>
      </c>
    </row>
    <row r="922" spans="1:1" x14ac:dyDescent="0.2">
      <c r="A922" s="21">
        <v>0.69</v>
      </c>
    </row>
    <row r="923" spans="1:1" x14ac:dyDescent="0.2">
      <c r="A923" s="21">
        <v>-7.0000000000000007E-2</v>
      </c>
    </row>
    <row r="924" spans="1:1" x14ac:dyDescent="0.2">
      <c r="A924" s="21">
        <v>2.76</v>
      </c>
    </row>
    <row r="925" spans="1:1" x14ac:dyDescent="0.2">
      <c r="A925" s="22">
        <v>3.38</v>
      </c>
    </row>
    <row r="926" spans="1:1" x14ac:dyDescent="0.2">
      <c r="A926" s="23" t="s">
        <v>248</v>
      </c>
    </row>
    <row r="927" spans="1:1" x14ac:dyDescent="0.2">
      <c r="A927" s="23" t="s">
        <v>247</v>
      </c>
    </row>
    <row r="928" spans="1:1" x14ac:dyDescent="0.2">
      <c r="A928" s="20" t="s">
        <v>18</v>
      </c>
    </row>
    <row r="929" spans="1:1" x14ac:dyDescent="0.2">
      <c r="A929" s="19" t="s">
        <v>28</v>
      </c>
    </row>
    <row r="930" spans="1:1" x14ac:dyDescent="0.2">
      <c r="A930" s="21">
        <v>-114.4</v>
      </c>
    </row>
    <row r="931" spans="1:1" x14ac:dyDescent="0.2">
      <c r="A931" s="22">
        <v>-114.4</v>
      </c>
    </row>
    <row r="932" spans="1:1" x14ac:dyDescent="0.2">
      <c r="A932" s="23" t="s">
        <v>249</v>
      </c>
    </row>
    <row r="933" spans="1:1" x14ac:dyDescent="0.2">
      <c r="A933" s="23" t="s">
        <v>250</v>
      </c>
    </row>
    <row r="934" spans="1:1" x14ac:dyDescent="0.2">
      <c r="A934" s="20" t="s">
        <v>18</v>
      </c>
    </row>
    <row r="935" spans="1:1" x14ac:dyDescent="0.2">
      <c r="A935" s="19" t="s">
        <v>28</v>
      </c>
    </row>
    <row r="936" spans="1:1" x14ac:dyDescent="0.2">
      <c r="A936" s="21">
        <v>-49.64</v>
      </c>
    </row>
    <row r="937" spans="1:1" x14ac:dyDescent="0.2">
      <c r="A937" s="22">
        <v>-49.64</v>
      </c>
    </row>
    <row r="938" spans="1:1" x14ac:dyDescent="0.2">
      <c r="A938" s="23" t="s">
        <v>251</v>
      </c>
    </row>
    <row r="939" spans="1:1" x14ac:dyDescent="0.2">
      <c r="A939" s="23" t="s">
        <v>252</v>
      </c>
    </row>
    <row r="940" spans="1:1" x14ac:dyDescent="0.2">
      <c r="A940" s="20" t="s">
        <v>18</v>
      </c>
    </row>
    <row r="941" spans="1:1" x14ac:dyDescent="0.2">
      <c r="A941" s="19" t="s">
        <v>28</v>
      </c>
    </row>
    <row r="942" spans="1:1" x14ac:dyDescent="0.2">
      <c r="A942" s="21">
        <v>-73.44</v>
      </c>
    </row>
    <row r="943" spans="1:1" x14ac:dyDescent="0.2">
      <c r="A943" s="22">
        <v>-73.44</v>
      </c>
    </row>
    <row r="944" spans="1:1" x14ac:dyDescent="0.2">
      <c r="A944" s="23" t="s">
        <v>253</v>
      </c>
    </row>
    <row r="945" spans="1:1" x14ac:dyDescent="0.2">
      <c r="A945" s="23" t="s">
        <v>254</v>
      </c>
    </row>
    <row r="946" spans="1:1" x14ac:dyDescent="0.2">
      <c r="A946" s="20" t="s">
        <v>18</v>
      </c>
    </row>
    <row r="947" spans="1:1" x14ac:dyDescent="0.2">
      <c r="A947" s="19" t="s">
        <v>28</v>
      </c>
    </row>
    <row r="948" spans="1:1" x14ac:dyDescent="0.2">
      <c r="A948" s="21">
        <v>-0.68</v>
      </c>
    </row>
    <row r="949" spans="1:1" x14ac:dyDescent="0.2">
      <c r="A949" s="22">
        <v>-0.68</v>
      </c>
    </row>
    <row r="950" spans="1:1" x14ac:dyDescent="0.2">
      <c r="A950" s="23" t="s">
        <v>255</v>
      </c>
    </row>
    <row r="951" spans="1:1" x14ac:dyDescent="0.2">
      <c r="A951" s="23" t="s">
        <v>256</v>
      </c>
    </row>
    <row r="952" spans="1:1" x14ac:dyDescent="0.2">
      <c r="A952" s="20" t="s">
        <v>18</v>
      </c>
    </row>
    <row r="953" spans="1:1" x14ac:dyDescent="0.2">
      <c r="A953" s="19" t="s">
        <v>28</v>
      </c>
    </row>
    <row r="954" spans="1:1" x14ac:dyDescent="0.2">
      <c r="A954" s="21">
        <v>-30.6</v>
      </c>
    </row>
    <row r="955" spans="1:1" x14ac:dyDescent="0.2">
      <c r="A955" s="22">
        <v>-30.6</v>
      </c>
    </row>
    <row r="956" spans="1:1" x14ac:dyDescent="0.2">
      <c r="A956" s="23" t="s">
        <v>257</v>
      </c>
    </row>
    <row r="957" spans="1:1" x14ac:dyDescent="0.2">
      <c r="A957" s="23" t="s">
        <v>258</v>
      </c>
    </row>
    <row r="958" spans="1:1" x14ac:dyDescent="0.2">
      <c r="A958" s="20" t="s">
        <v>18</v>
      </c>
    </row>
    <row r="959" spans="1:1" x14ac:dyDescent="0.2">
      <c r="A959" s="19" t="s">
        <v>28</v>
      </c>
    </row>
    <row r="960" spans="1:1" x14ac:dyDescent="0.2">
      <c r="A960" s="21">
        <v>-0.68</v>
      </c>
    </row>
    <row r="961" spans="1:1" x14ac:dyDescent="0.2">
      <c r="A961" s="22">
        <v>-0.68</v>
      </c>
    </row>
    <row r="962" spans="1:1" x14ac:dyDescent="0.2">
      <c r="A962" s="23" t="s">
        <v>255</v>
      </c>
    </row>
    <row r="963" spans="1:1" x14ac:dyDescent="0.2">
      <c r="A963" s="23" t="s">
        <v>259</v>
      </c>
    </row>
    <row r="964" spans="1:1" x14ac:dyDescent="0.2">
      <c r="A964" s="20" t="s">
        <v>18</v>
      </c>
    </row>
    <row r="965" spans="1:1" x14ac:dyDescent="0.2">
      <c r="A965" s="19" t="s">
        <v>28</v>
      </c>
    </row>
    <row r="966" spans="1:1" x14ac:dyDescent="0.2">
      <c r="A966" s="21">
        <v>-1.36</v>
      </c>
    </row>
    <row r="967" spans="1:1" x14ac:dyDescent="0.2">
      <c r="A967" s="22">
        <v>-1.36</v>
      </c>
    </row>
    <row r="968" spans="1:1" x14ac:dyDescent="0.2">
      <c r="A968" s="23" t="s">
        <v>260</v>
      </c>
    </row>
    <row r="969" spans="1:1" x14ac:dyDescent="0.2">
      <c r="A969" s="23" t="s">
        <v>261</v>
      </c>
    </row>
    <row r="970" spans="1:1" x14ac:dyDescent="0.2">
      <c r="A970" s="20" t="s">
        <v>18</v>
      </c>
    </row>
    <row r="971" spans="1:1" x14ac:dyDescent="0.2">
      <c r="A971" s="19" t="s">
        <v>28</v>
      </c>
    </row>
    <row r="972" spans="1:1" x14ac:dyDescent="0.2">
      <c r="A972" s="21">
        <v>-0.68</v>
      </c>
    </row>
    <row r="973" spans="1:1" x14ac:dyDescent="0.2">
      <c r="A973" s="22">
        <v>-0.68</v>
      </c>
    </row>
    <row r="974" spans="1:1" x14ac:dyDescent="0.2">
      <c r="A974" s="23" t="s">
        <v>255</v>
      </c>
    </row>
    <row r="975" spans="1:1" x14ac:dyDescent="0.2">
      <c r="A975" s="23" t="s">
        <v>262</v>
      </c>
    </row>
    <row r="976" spans="1:1" x14ac:dyDescent="0.2">
      <c r="A976" s="20" t="s">
        <v>18</v>
      </c>
    </row>
    <row r="977" spans="1:1" x14ac:dyDescent="0.2">
      <c r="A977" s="19" t="s">
        <v>28</v>
      </c>
    </row>
    <row r="978" spans="1:1" x14ac:dyDescent="0.2">
      <c r="A978" s="21">
        <v>-17.68</v>
      </c>
    </row>
    <row r="979" spans="1:1" x14ac:dyDescent="0.2">
      <c r="A979" s="22">
        <v>-17.68</v>
      </c>
    </row>
    <row r="980" spans="1:1" x14ac:dyDescent="0.2">
      <c r="A980" s="23" t="s">
        <v>263</v>
      </c>
    </row>
    <row r="981" spans="1:1" x14ac:dyDescent="0.2">
      <c r="A981" s="23" t="s">
        <v>264</v>
      </c>
    </row>
    <row r="982" spans="1:1" x14ac:dyDescent="0.2">
      <c r="A982" s="20" t="s">
        <v>18</v>
      </c>
    </row>
    <row r="983" spans="1:1" x14ac:dyDescent="0.2">
      <c r="A983" s="19" t="s">
        <v>28</v>
      </c>
    </row>
    <row r="984" spans="1:1" x14ac:dyDescent="0.2">
      <c r="A984" s="21">
        <v>-62.1</v>
      </c>
    </row>
    <row r="985" spans="1:1" x14ac:dyDescent="0.2">
      <c r="A985" s="22">
        <v>-62.1</v>
      </c>
    </row>
    <row r="986" spans="1:1" x14ac:dyDescent="0.2">
      <c r="A986" s="23" t="s">
        <v>265</v>
      </c>
    </row>
    <row r="987" spans="1:1" x14ac:dyDescent="0.2">
      <c r="A987" s="23" t="s">
        <v>266</v>
      </c>
    </row>
    <row r="988" spans="1:1" x14ac:dyDescent="0.2">
      <c r="A988" s="20" t="s">
        <v>18</v>
      </c>
    </row>
    <row r="989" spans="1:1" x14ac:dyDescent="0.2">
      <c r="A989" s="19" t="s">
        <v>28</v>
      </c>
    </row>
    <row r="990" spans="1:1" x14ac:dyDescent="0.2">
      <c r="A990" s="21">
        <v>-0.69</v>
      </c>
    </row>
    <row r="991" spans="1:1" x14ac:dyDescent="0.2">
      <c r="A991" s="22">
        <v>-0.69</v>
      </c>
    </row>
    <row r="992" spans="1:1" x14ac:dyDescent="0.2">
      <c r="A992" s="23" t="s">
        <v>267</v>
      </c>
    </row>
    <row r="993" spans="1:1" x14ac:dyDescent="0.2">
      <c r="A993" s="23" t="s">
        <v>268</v>
      </c>
    </row>
    <row r="994" spans="1:1" x14ac:dyDescent="0.2">
      <c r="A994" s="20" t="s">
        <v>146</v>
      </c>
    </row>
    <row r="995" spans="1:1" x14ac:dyDescent="0.2">
      <c r="A995" s="21">
        <v>-1.5</v>
      </c>
    </row>
    <row r="996" spans="1:1" x14ac:dyDescent="0.2">
      <c r="A996" s="21">
        <v>21</v>
      </c>
    </row>
    <row r="997" spans="1:1" x14ac:dyDescent="0.2">
      <c r="A997" s="22">
        <v>19.5</v>
      </c>
    </row>
    <row r="998" spans="1:1" x14ac:dyDescent="0.2">
      <c r="A998" s="23" t="s">
        <v>269</v>
      </c>
    </row>
    <row r="999" spans="1:1" x14ac:dyDescent="0.2">
      <c r="A999" s="23" t="s">
        <v>268</v>
      </c>
    </row>
    <row r="1000" spans="1:1" x14ac:dyDescent="0.2">
      <c r="A1000" s="20" t="s">
        <v>146</v>
      </c>
    </row>
    <row r="1001" spans="1:1" x14ac:dyDescent="0.2">
      <c r="A1001" s="21">
        <v>-0.5</v>
      </c>
    </row>
    <row r="1002" spans="1:1" x14ac:dyDescent="0.2">
      <c r="A1002" s="21">
        <v>7</v>
      </c>
    </row>
    <row r="1003" spans="1:1" x14ac:dyDescent="0.2">
      <c r="A1003" s="22">
        <v>6.5</v>
      </c>
    </row>
    <row r="1004" spans="1:1" x14ac:dyDescent="0.2">
      <c r="A1004" s="23" t="s">
        <v>270</v>
      </c>
    </row>
    <row r="1005" spans="1:1" x14ac:dyDescent="0.2">
      <c r="A1005" s="23" t="s">
        <v>268</v>
      </c>
    </row>
    <row r="1006" spans="1:1" x14ac:dyDescent="0.2">
      <c r="A1006" s="20" t="s">
        <v>18</v>
      </c>
    </row>
    <row r="1007" spans="1:1" x14ac:dyDescent="0.2">
      <c r="A1007" s="19" t="s">
        <v>28</v>
      </c>
    </row>
    <row r="1008" spans="1:1" x14ac:dyDescent="0.2">
      <c r="A1008" s="21">
        <v>-15.62</v>
      </c>
    </row>
    <row r="1009" spans="1:1" x14ac:dyDescent="0.2">
      <c r="A1009" s="22">
        <v>-15.62</v>
      </c>
    </row>
    <row r="1010" spans="1:1" x14ac:dyDescent="0.2">
      <c r="A1010" s="23" t="s">
        <v>271</v>
      </c>
    </row>
    <row r="1011" spans="1:1" x14ac:dyDescent="0.2">
      <c r="A1011" s="23" t="s">
        <v>272</v>
      </c>
    </row>
    <row r="1012" spans="1:1" x14ac:dyDescent="0.2">
      <c r="A1012" s="20" t="s">
        <v>18</v>
      </c>
    </row>
    <row r="1013" spans="1:1" x14ac:dyDescent="0.2">
      <c r="A1013" s="19" t="s">
        <v>28</v>
      </c>
    </row>
    <row r="1014" spans="1:1" x14ac:dyDescent="0.2">
      <c r="A1014" s="21">
        <v>-14</v>
      </c>
    </row>
    <row r="1015" spans="1:1" x14ac:dyDescent="0.2">
      <c r="A1015" s="22">
        <v>-14</v>
      </c>
    </row>
    <row r="1016" spans="1:1" x14ac:dyDescent="0.2">
      <c r="A1016" s="23" t="s">
        <v>273</v>
      </c>
    </row>
    <row r="1017" spans="1:1" x14ac:dyDescent="0.2">
      <c r="A1017" s="23" t="s">
        <v>274</v>
      </c>
    </row>
    <row r="1018" spans="1:1" x14ac:dyDescent="0.2">
      <c r="A1018" s="20" t="s">
        <v>18</v>
      </c>
    </row>
    <row r="1019" spans="1:1" x14ac:dyDescent="0.2">
      <c r="A1019" s="19" t="s">
        <v>28</v>
      </c>
    </row>
    <row r="1020" spans="1:1" x14ac:dyDescent="0.2">
      <c r="A1020" s="21">
        <v>-6.21</v>
      </c>
    </row>
    <row r="1021" spans="1:1" x14ac:dyDescent="0.2">
      <c r="A1021" s="22">
        <v>-6.21</v>
      </c>
    </row>
    <row r="1022" spans="1:1" x14ac:dyDescent="0.2">
      <c r="A1022" s="23" t="s">
        <v>275</v>
      </c>
    </row>
    <row r="1023" spans="1:1" x14ac:dyDescent="0.2">
      <c r="A1023" s="23" t="s">
        <v>276</v>
      </c>
    </row>
    <row r="1024" spans="1:1" x14ac:dyDescent="0.2">
      <c r="A1024" s="20" t="s">
        <v>18</v>
      </c>
    </row>
    <row r="1025" spans="1:1" x14ac:dyDescent="0.2">
      <c r="A1025" s="19" t="s">
        <v>28</v>
      </c>
    </row>
    <row r="1026" spans="1:1" x14ac:dyDescent="0.2">
      <c r="A1026" s="21">
        <v>-42</v>
      </c>
    </row>
    <row r="1027" spans="1:1" x14ac:dyDescent="0.2">
      <c r="A1027" s="22">
        <v>-42</v>
      </c>
    </row>
    <row r="1028" spans="1:1" x14ac:dyDescent="0.2">
      <c r="A1028" s="23" t="s">
        <v>277</v>
      </c>
    </row>
    <row r="1029" spans="1:1" x14ac:dyDescent="0.2">
      <c r="A1029" s="23" t="s">
        <v>278</v>
      </c>
    </row>
    <row r="1030" spans="1:1" x14ac:dyDescent="0.2">
      <c r="A1030" s="20" t="s">
        <v>18</v>
      </c>
    </row>
    <row r="1031" spans="1:1" x14ac:dyDescent="0.2">
      <c r="A1031" s="19" t="s">
        <v>28</v>
      </c>
    </row>
    <row r="1032" spans="1:1" x14ac:dyDescent="0.2">
      <c r="A1032" s="21">
        <v>-17.25</v>
      </c>
    </row>
    <row r="1033" spans="1:1" x14ac:dyDescent="0.2">
      <c r="A1033" s="22">
        <v>-17.25</v>
      </c>
    </row>
    <row r="1034" spans="1:1" x14ac:dyDescent="0.2">
      <c r="A1034" s="23" t="s">
        <v>279</v>
      </c>
    </row>
    <row r="1035" spans="1:1" x14ac:dyDescent="0.2">
      <c r="A1035" s="23" t="s">
        <v>280</v>
      </c>
    </row>
    <row r="1036" spans="1:1" x14ac:dyDescent="0.2">
      <c r="A1036" s="20" t="s">
        <v>14</v>
      </c>
    </row>
    <row r="1037" spans="1:1" x14ac:dyDescent="0.2">
      <c r="A1037" s="19" t="s">
        <v>28</v>
      </c>
    </row>
    <row r="1038" spans="1:1" x14ac:dyDescent="0.2">
      <c r="A1038" s="21">
        <v>-21.24</v>
      </c>
    </row>
    <row r="1039" spans="1:1" x14ac:dyDescent="0.2">
      <c r="A1039" s="22">
        <v>-21.24</v>
      </c>
    </row>
    <row r="1040" spans="1:1" x14ac:dyDescent="0.2">
      <c r="A1040" s="23" t="s">
        <v>281</v>
      </c>
    </row>
    <row r="1041" spans="1:1" x14ac:dyDescent="0.2">
      <c r="A1041" s="23" t="s">
        <v>282</v>
      </c>
    </row>
    <row r="1042" spans="1:1" x14ac:dyDescent="0.2">
      <c r="A1042" s="20" t="s">
        <v>14</v>
      </c>
    </row>
    <row r="1043" spans="1:1" x14ac:dyDescent="0.2">
      <c r="A1043" s="19" t="s">
        <v>28</v>
      </c>
    </row>
    <row r="1044" spans="1:1" x14ac:dyDescent="0.2">
      <c r="A1044" s="21">
        <v>-2.76</v>
      </c>
    </row>
    <row r="1045" spans="1:1" x14ac:dyDescent="0.2">
      <c r="A1045" s="22">
        <v>-2.76</v>
      </c>
    </row>
    <row r="1046" spans="1:1" x14ac:dyDescent="0.2">
      <c r="A1046" s="23" t="s">
        <v>283</v>
      </c>
    </row>
    <row r="1047" spans="1:1" x14ac:dyDescent="0.2">
      <c r="A1047" s="23" t="s">
        <v>284</v>
      </c>
    </row>
    <row r="1048" spans="1:1" x14ac:dyDescent="0.2">
      <c r="A1048" s="20" t="s">
        <v>146</v>
      </c>
    </row>
    <row r="1049" spans="1:1" x14ac:dyDescent="0.2">
      <c r="A1049" s="19" t="s">
        <v>28</v>
      </c>
    </row>
    <row r="1050" spans="1:1" x14ac:dyDescent="0.2">
      <c r="A1050" s="21">
        <v>-28</v>
      </c>
    </row>
    <row r="1051" spans="1:1" x14ac:dyDescent="0.2">
      <c r="A1051" s="22">
        <v>-28</v>
      </c>
    </row>
    <row r="1052" spans="1:1" x14ac:dyDescent="0.2">
      <c r="A1052" s="23" t="s">
        <v>285</v>
      </c>
    </row>
    <row r="1053" spans="1:1" x14ac:dyDescent="0.2">
      <c r="A1053" s="23" t="s">
        <v>286</v>
      </c>
    </row>
    <row r="1054" spans="1:1" x14ac:dyDescent="0.2">
      <c r="A1054" s="20" t="s">
        <v>18</v>
      </c>
    </row>
    <row r="1055" spans="1:1" x14ac:dyDescent="0.2">
      <c r="A1055" s="21">
        <v>0.47</v>
      </c>
    </row>
    <row r="1056" spans="1:1" x14ac:dyDescent="0.2">
      <c r="A1056" s="21">
        <v>-0.05</v>
      </c>
    </row>
    <row r="1057" spans="1:1" x14ac:dyDescent="0.2">
      <c r="A1057" s="21">
        <v>29.14</v>
      </c>
    </row>
    <row r="1058" spans="1:1" x14ac:dyDescent="0.2">
      <c r="A1058" s="22">
        <v>29.56</v>
      </c>
    </row>
    <row r="1059" spans="1:1" x14ac:dyDescent="0.2">
      <c r="A1059" s="23" t="s">
        <v>287</v>
      </c>
    </row>
    <row r="1060" spans="1:1" x14ac:dyDescent="0.2">
      <c r="A1060" s="23" t="s">
        <v>288</v>
      </c>
    </row>
    <row r="1061" spans="1:1" x14ac:dyDescent="0.2">
      <c r="A1061" s="20" t="s">
        <v>18</v>
      </c>
    </row>
    <row r="1062" spans="1:1" x14ac:dyDescent="0.2">
      <c r="A1062" s="21">
        <v>0.54</v>
      </c>
    </row>
    <row r="1063" spans="1:1" x14ac:dyDescent="0.2">
      <c r="A1063" s="21">
        <v>-0.05</v>
      </c>
    </row>
    <row r="1064" spans="1:1" x14ac:dyDescent="0.2">
      <c r="A1064" s="21">
        <v>16.739999999999998</v>
      </c>
    </row>
    <row r="1065" spans="1:1" x14ac:dyDescent="0.2">
      <c r="A1065" s="22">
        <v>17.23</v>
      </c>
    </row>
    <row r="1066" spans="1:1" x14ac:dyDescent="0.2">
      <c r="A1066" s="23" t="s">
        <v>289</v>
      </c>
    </row>
    <row r="1067" spans="1:1" x14ac:dyDescent="0.2">
      <c r="A1067" s="23" t="s">
        <v>288</v>
      </c>
    </row>
    <row r="1068" spans="1:1" x14ac:dyDescent="0.2">
      <c r="A1068" s="20" t="s">
        <v>18</v>
      </c>
    </row>
    <row r="1069" spans="1:1" x14ac:dyDescent="0.2">
      <c r="A1069" s="21">
        <v>1.06</v>
      </c>
    </row>
    <row r="1070" spans="1:1" x14ac:dyDescent="0.2">
      <c r="A1070" s="21">
        <v>-0.11</v>
      </c>
    </row>
    <row r="1071" spans="1:1" x14ac:dyDescent="0.2">
      <c r="A1071" s="21">
        <v>24.94</v>
      </c>
    </row>
    <row r="1072" spans="1:1" x14ac:dyDescent="0.2">
      <c r="A1072" s="22">
        <v>25.89</v>
      </c>
    </row>
    <row r="1073" spans="1:1" x14ac:dyDescent="0.2">
      <c r="A1073" s="23" t="s">
        <v>290</v>
      </c>
    </row>
    <row r="1074" spans="1:1" x14ac:dyDescent="0.2">
      <c r="A1074" s="23" t="s">
        <v>291</v>
      </c>
    </row>
    <row r="1075" spans="1:1" x14ac:dyDescent="0.2">
      <c r="A1075" s="20" t="s">
        <v>41</v>
      </c>
    </row>
    <row r="1076" spans="1:1" x14ac:dyDescent="0.2">
      <c r="A1076" s="19" t="s">
        <v>28</v>
      </c>
    </row>
    <row r="1077" spans="1:1" x14ac:dyDescent="0.2">
      <c r="A1077" s="21">
        <v>-16</v>
      </c>
    </row>
    <row r="1078" spans="1:1" x14ac:dyDescent="0.2">
      <c r="A1078" s="22">
        <v>-16</v>
      </c>
    </row>
    <row r="1079" spans="1:1" x14ac:dyDescent="0.2">
      <c r="A1079" s="23" t="s">
        <v>292</v>
      </c>
    </row>
    <row r="1080" spans="1:1" x14ac:dyDescent="0.2">
      <c r="A1080" s="23" t="s">
        <v>291</v>
      </c>
    </row>
    <row r="1081" spans="1:1" x14ac:dyDescent="0.2">
      <c r="A1081" s="20" t="s">
        <v>18</v>
      </c>
    </row>
    <row r="1082" spans="1:1" x14ac:dyDescent="0.2">
      <c r="A1082" s="21">
        <v>4.58</v>
      </c>
    </row>
    <row r="1083" spans="1:1" x14ac:dyDescent="0.2">
      <c r="A1083" s="21">
        <v>-0.46</v>
      </c>
    </row>
    <row r="1084" spans="1:1" x14ac:dyDescent="0.2">
      <c r="A1084" s="21">
        <v>118.18</v>
      </c>
    </row>
    <row r="1085" spans="1:1" x14ac:dyDescent="0.2">
      <c r="A1085" s="22">
        <v>122.3</v>
      </c>
    </row>
    <row r="1086" spans="1:1" x14ac:dyDescent="0.2">
      <c r="A1086" s="23" t="s">
        <v>293</v>
      </c>
    </row>
    <row r="1087" spans="1:1" x14ac:dyDescent="0.2">
      <c r="A1087" s="23" t="s">
        <v>294</v>
      </c>
    </row>
    <row r="1088" spans="1:1" x14ac:dyDescent="0.2">
      <c r="A1088" s="20" t="s">
        <v>118</v>
      </c>
    </row>
    <row r="1089" spans="1:1" x14ac:dyDescent="0.2">
      <c r="A1089" s="19" t="s">
        <v>28</v>
      </c>
    </row>
    <row r="1090" spans="1:1" x14ac:dyDescent="0.2">
      <c r="A1090" s="21">
        <v>-18</v>
      </c>
    </row>
    <row r="1091" spans="1:1" x14ac:dyDescent="0.2">
      <c r="A1091" s="22">
        <v>-18</v>
      </c>
    </row>
    <row r="1092" spans="1:1" x14ac:dyDescent="0.2">
      <c r="A1092" s="23" t="s">
        <v>295</v>
      </c>
    </row>
    <row r="1093" spans="1:1" x14ac:dyDescent="0.2">
      <c r="A1093" s="23" t="s">
        <v>294</v>
      </c>
    </row>
    <row r="1094" spans="1:1" x14ac:dyDescent="0.2">
      <c r="A1094" s="20" t="s">
        <v>18</v>
      </c>
    </row>
    <row r="1095" spans="1:1" x14ac:dyDescent="0.2">
      <c r="A1095" s="19" t="s">
        <v>28</v>
      </c>
    </row>
    <row r="1096" spans="1:1" x14ac:dyDescent="0.2">
      <c r="A1096" s="21">
        <v>-62</v>
      </c>
    </row>
    <row r="1097" spans="1:1" x14ac:dyDescent="0.2">
      <c r="A1097" s="22">
        <v>-62</v>
      </c>
    </row>
    <row r="1098" spans="1:1" x14ac:dyDescent="0.2">
      <c r="A1098" s="23" t="s">
        <v>296</v>
      </c>
    </row>
    <row r="1099" spans="1:1" x14ac:dyDescent="0.2">
      <c r="A1099" s="23" t="s">
        <v>297</v>
      </c>
    </row>
    <row r="1100" spans="1:1" x14ac:dyDescent="0.2">
      <c r="A1100" s="20" t="s">
        <v>18</v>
      </c>
    </row>
    <row r="1101" spans="1:1" x14ac:dyDescent="0.2">
      <c r="A1101" s="19" t="s">
        <v>28</v>
      </c>
    </row>
    <row r="1102" spans="1:1" x14ac:dyDescent="0.2">
      <c r="A1102" s="21">
        <v>-63</v>
      </c>
    </row>
    <row r="1103" spans="1:1" x14ac:dyDescent="0.2">
      <c r="A1103" s="22">
        <v>-63</v>
      </c>
    </row>
    <row r="1104" spans="1:1" x14ac:dyDescent="0.2">
      <c r="A1104" s="23" t="s">
        <v>132</v>
      </c>
    </row>
    <row r="1105" spans="1:1" x14ac:dyDescent="0.2">
      <c r="A1105" s="23" t="s">
        <v>298</v>
      </c>
    </row>
    <row r="1106" spans="1:1" x14ac:dyDescent="0.2">
      <c r="A1106" s="20" t="s">
        <v>18</v>
      </c>
    </row>
    <row r="1107" spans="1:1" x14ac:dyDescent="0.2">
      <c r="A1107" s="19" t="s">
        <v>28</v>
      </c>
    </row>
    <row r="1108" spans="1:1" x14ac:dyDescent="0.2">
      <c r="A1108" s="21">
        <v>-37.76</v>
      </c>
    </row>
    <row r="1109" spans="1:1" x14ac:dyDescent="0.2">
      <c r="A1109" s="22">
        <v>-37.76</v>
      </c>
    </row>
    <row r="1110" spans="1:1" x14ac:dyDescent="0.2">
      <c r="A1110" s="23" t="s">
        <v>299</v>
      </c>
    </row>
    <row r="1111" spans="1:1" x14ac:dyDescent="0.2">
      <c r="A1111" s="23" t="s">
        <v>300</v>
      </c>
    </row>
    <row r="1112" spans="1:1" x14ac:dyDescent="0.2">
      <c r="A1112" s="20" t="s">
        <v>18</v>
      </c>
    </row>
    <row r="1113" spans="1:1" x14ac:dyDescent="0.2">
      <c r="A1113" s="19" t="s">
        <v>28</v>
      </c>
    </row>
    <row r="1114" spans="1:1" x14ac:dyDescent="0.2">
      <c r="A1114" s="21">
        <v>-26.24</v>
      </c>
    </row>
    <row r="1115" spans="1:1" x14ac:dyDescent="0.2">
      <c r="A1115" s="22">
        <v>-26.24</v>
      </c>
    </row>
    <row r="1116" spans="1:1" x14ac:dyDescent="0.2">
      <c r="A1116" s="23" t="s">
        <v>301</v>
      </c>
    </row>
    <row r="1117" spans="1:1" x14ac:dyDescent="0.2">
      <c r="A1117" s="23" t="s">
        <v>302</v>
      </c>
    </row>
    <row r="1118" spans="1:1" x14ac:dyDescent="0.2">
      <c r="A1118" s="20" t="s">
        <v>18</v>
      </c>
    </row>
    <row r="1119" spans="1:1" x14ac:dyDescent="0.2">
      <c r="A1119" s="21">
        <v>-2.5</v>
      </c>
    </row>
    <row r="1120" spans="1:1" x14ac:dyDescent="0.2">
      <c r="A1120" s="21">
        <v>41.25</v>
      </c>
    </row>
    <row r="1121" spans="1:1" x14ac:dyDescent="0.2">
      <c r="A1121" s="22">
        <v>38.75</v>
      </c>
    </row>
    <row r="1122" spans="1:1" x14ac:dyDescent="0.2">
      <c r="A1122" s="23" t="s">
        <v>303</v>
      </c>
    </row>
    <row r="1123" spans="1:1" x14ac:dyDescent="0.2">
      <c r="A1123" s="23" t="s">
        <v>304</v>
      </c>
    </row>
    <row r="1124" spans="1:1" x14ac:dyDescent="0.2">
      <c r="A1124" s="20" t="s">
        <v>18</v>
      </c>
    </row>
    <row r="1125" spans="1:1" x14ac:dyDescent="0.2">
      <c r="A1125" s="21">
        <v>0.2</v>
      </c>
    </row>
    <row r="1126" spans="1:1" x14ac:dyDescent="0.2">
      <c r="A1126" s="21">
        <v>-0.02</v>
      </c>
    </row>
    <row r="1127" spans="1:1" x14ac:dyDescent="0.2">
      <c r="A1127" s="21">
        <v>6.6</v>
      </c>
    </row>
    <row r="1128" spans="1:1" x14ac:dyDescent="0.2">
      <c r="A1128" s="22">
        <v>6.78</v>
      </c>
    </row>
    <row r="1129" spans="1:1" x14ac:dyDescent="0.2">
      <c r="A1129" s="23" t="s">
        <v>305</v>
      </c>
    </row>
    <row r="1130" spans="1:1" x14ac:dyDescent="0.2">
      <c r="A1130" s="23" t="s">
        <v>306</v>
      </c>
    </row>
    <row r="1131" spans="1:1" x14ac:dyDescent="0.2">
      <c r="A1131" s="20" t="s">
        <v>18</v>
      </c>
    </row>
    <row r="1132" spans="1:1" x14ac:dyDescent="0.2">
      <c r="A1132" s="19" t="s">
        <v>28</v>
      </c>
    </row>
    <row r="1133" spans="1:1" x14ac:dyDescent="0.2">
      <c r="A1133" s="21">
        <v>-47.85</v>
      </c>
    </row>
    <row r="1134" spans="1:1" x14ac:dyDescent="0.2">
      <c r="A1134" s="22">
        <v>-47.85</v>
      </c>
    </row>
    <row r="1135" spans="1:1" x14ac:dyDescent="0.2">
      <c r="A1135" s="23" t="s">
        <v>307</v>
      </c>
    </row>
    <row r="1136" spans="1:1" x14ac:dyDescent="0.2">
      <c r="A1136" s="23" t="s">
        <v>308</v>
      </c>
    </row>
    <row r="1137" spans="1:1" x14ac:dyDescent="0.2">
      <c r="A1137" s="20" t="s">
        <v>309</v>
      </c>
    </row>
    <row r="1138" spans="1:1" x14ac:dyDescent="0.2">
      <c r="A1138" s="21">
        <v>-0.38</v>
      </c>
    </row>
    <row r="1139" spans="1:1" x14ac:dyDescent="0.2">
      <c r="A1139" s="21">
        <v>17.86</v>
      </c>
    </row>
    <row r="1140" spans="1:1" x14ac:dyDescent="0.2">
      <c r="A1140" s="22">
        <v>17.48</v>
      </c>
    </row>
    <row r="1141" spans="1:1" x14ac:dyDescent="0.2">
      <c r="A1141" s="23" t="s">
        <v>310</v>
      </c>
    </row>
    <row r="1142" spans="1:1" x14ac:dyDescent="0.2">
      <c r="A1142" s="23" t="s">
        <v>311</v>
      </c>
    </row>
    <row r="1143" spans="1:1" x14ac:dyDescent="0.2">
      <c r="A1143" s="20" t="s">
        <v>309</v>
      </c>
    </row>
    <row r="1144" spans="1:1" x14ac:dyDescent="0.2">
      <c r="A1144" s="21">
        <v>-15.7</v>
      </c>
    </row>
    <row r="1145" spans="1:1" x14ac:dyDescent="0.2">
      <c r="A1145" s="21">
        <v>737.9</v>
      </c>
    </row>
    <row r="1146" spans="1:1" x14ac:dyDescent="0.2">
      <c r="A1146" s="22">
        <v>722.2</v>
      </c>
    </row>
    <row r="1147" spans="1:1" x14ac:dyDescent="0.2">
      <c r="A1147" s="23" t="s">
        <v>312</v>
      </c>
    </row>
    <row r="1148" spans="1:1" x14ac:dyDescent="0.2">
      <c r="A1148" s="23" t="s">
        <v>311</v>
      </c>
    </row>
    <row r="1149" spans="1:1" x14ac:dyDescent="0.2">
      <c r="A1149" s="20" t="s">
        <v>309</v>
      </c>
    </row>
    <row r="1150" spans="1:1" x14ac:dyDescent="0.2">
      <c r="A1150" s="21">
        <v>-1</v>
      </c>
    </row>
    <row r="1151" spans="1:1" x14ac:dyDescent="0.2">
      <c r="A1151" s="21">
        <v>94</v>
      </c>
    </row>
    <row r="1152" spans="1:1" x14ac:dyDescent="0.2">
      <c r="A1152" s="22">
        <v>93</v>
      </c>
    </row>
    <row r="1153" spans="1:1" x14ac:dyDescent="0.2">
      <c r="A1153" s="23" t="s">
        <v>313</v>
      </c>
    </row>
    <row r="1154" spans="1:1" x14ac:dyDescent="0.2">
      <c r="A1154" s="23" t="s">
        <v>314</v>
      </c>
    </row>
    <row r="1155" spans="1:1" x14ac:dyDescent="0.2">
      <c r="A1155" s="20" t="s">
        <v>309</v>
      </c>
    </row>
    <row r="1156" spans="1:1" x14ac:dyDescent="0.2">
      <c r="A1156" s="19" t="s">
        <v>28</v>
      </c>
    </row>
    <row r="1157" spans="1:1" x14ac:dyDescent="0.2">
      <c r="A1157" s="21">
        <v>-849.76</v>
      </c>
    </row>
    <row r="1158" spans="1:1" x14ac:dyDescent="0.2">
      <c r="A1158" s="22">
        <v>-849.76</v>
      </c>
    </row>
    <row r="1159" spans="1:1" x14ac:dyDescent="0.2">
      <c r="A1159" s="23" t="s">
        <v>315</v>
      </c>
    </row>
    <row r="1160" spans="1:1" x14ac:dyDescent="0.2">
      <c r="A1160" s="23" t="s">
        <v>316</v>
      </c>
    </row>
    <row r="1161" spans="1:1" x14ac:dyDescent="0.2">
      <c r="A1161" s="20" t="s">
        <v>18</v>
      </c>
    </row>
    <row r="1162" spans="1:1" x14ac:dyDescent="0.2">
      <c r="A1162" s="21">
        <v>-0.6</v>
      </c>
    </row>
    <row r="1163" spans="1:1" x14ac:dyDescent="0.2">
      <c r="A1163" s="21">
        <v>23.1</v>
      </c>
    </row>
    <row r="1164" spans="1:1" x14ac:dyDescent="0.2">
      <c r="A1164" s="22">
        <v>22.5</v>
      </c>
    </row>
    <row r="1165" spans="1:1" x14ac:dyDescent="0.2">
      <c r="A1165" s="23" t="s">
        <v>317</v>
      </c>
    </row>
    <row r="1166" spans="1:1" x14ac:dyDescent="0.2">
      <c r="A1166" s="23" t="s">
        <v>318</v>
      </c>
    </row>
    <row r="1167" spans="1:1" x14ac:dyDescent="0.2">
      <c r="A1167" s="20" t="s">
        <v>18</v>
      </c>
    </row>
    <row r="1168" spans="1:1" x14ac:dyDescent="0.2">
      <c r="A1168" s="21">
        <v>-1.1000000000000001</v>
      </c>
    </row>
    <row r="1169" spans="1:1" x14ac:dyDescent="0.2">
      <c r="A1169" s="21">
        <v>84.7</v>
      </c>
    </row>
    <row r="1170" spans="1:1" x14ac:dyDescent="0.2">
      <c r="A1170" s="22">
        <v>83.6</v>
      </c>
    </row>
    <row r="1171" spans="1:1" x14ac:dyDescent="0.2">
      <c r="A1171" s="23" t="s">
        <v>319</v>
      </c>
    </row>
    <row r="1172" spans="1:1" x14ac:dyDescent="0.2">
      <c r="A1172" s="23" t="s">
        <v>318</v>
      </c>
    </row>
    <row r="1173" spans="1:1" x14ac:dyDescent="0.2">
      <c r="A1173" s="20" t="s">
        <v>18</v>
      </c>
    </row>
    <row r="1174" spans="1:1" x14ac:dyDescent="0.2">
      <c r="A1174" s="19" t="s">
        <v>28</v>
      </c>
    </row>
    <row r="1175" spans="1:1" x14ac:dyDescent="0.2">
      <c r="A1175" s="21">
        <v>-107.8</v>
      </c>
    </row>
    <row r="1176" spans="1:1" x14ac:dyDescent="0.2">
      <c r="A1176" s="22">
        <v>-107.8</v>
      </c>
    </row>
    <row r="1177" spans="1:1" x14ac:dyDescent="0.2">
      <c r="A1177" s="23" t="s">
        <v>320</v>
      </c>
    </row>
    <row r="1178" spans="1:1" x14ac:dyDescent="0.2">
      <c r="A1178" s="23" t="s">
        <v>321</v>
      </c>
    </row>
    <row r="1179" spans="1:1" x14ac:dyDescent="0.2">
      <c r="A1179" s="20" t="s">
        <v>18</v>
      </c>
    </row>
    <row r="1180" spans="1:1" x14ac:dyDescent="0.2">
      <c r="A1180" s="21">
        <v>0.05</v>
      </c>
    </row>
    <row r="1181" spans="1:1" x14ac:dyDescent="0.2">
      <c r="A1181" s="21">
        <v>-0.01</v>
      </c>
    </row>
    <row r="1182" spans="1:1" x14ac:dyDescent="0.2">
      <c r="A1182" s="21">
        <v>0.8</v>
      </c>
    </row>
    <row r="1183" spans="1:1" x14ac:dyDescent="0.2">
      <c r="A1183" s="22">
        <v>0.85</v>
      </c>
    </row>
    <row r="1184" spans="1:1" x14ac:dyDescent="0.2">
      <c r="A1184" s="23" t="s">
        <v>322</v>
      </c>
    </row>
    <row r="1185" spans="1:1" x14ac:dyDescent="0.2">
      <c r="A1185" s="23" t="s">
        <v>323</v>
      </c>
    </row>
    <row r="1186" spans="1:1" x14ac:dyDescent="0.2">
      <c r="A1186" s="20" t="s">
        <v>18</v>
      </c>
    </row>
    <row r="1187" spans="1:1" x14ac:dyDescent="0.2">
      <c r="A1187" s="21">
        <v>0.05</v>
      </c>
    </row>
    <row r="1188" spans="1:1" x14ac:dyDescent="0.2">
      <c r="A1188" s="21">
        <v>-0.01</v>
      </c>
    </row>
    <row r="1189" spans="1:1" x14ac:dyDescent="0.2">
      <c r="A1189" s="21">
        <v>0.8</v>
      </c>
    </row>
    <row r="1190" spans="1:1" x14ac:dyDescent="0.2">
      <c r="A1190" s="22">
        <v>0.85</v>
      </c>
    </row>
    <row r="1191" spans="1:1" x14ac:dyDescent="0.2">
      <c r="A1191" s="23" t="s">
        <v>322</v>
      </c>
    </row>
    <row r="1192" spans="1:1" x14ac:dyDescent="0.2">
      <c r="A1192" s="23" t="s">
        <v>323</v>
      </c>
    </row>
    <row r="1193" spans="1:1" x14ac:dyDescent="0.2">
      <c r="A1193" s="20" t="s">
        <v>18</v>
      </c>
    </row>
    <row r="1194" spans="1:1" x14ac:dyDescent="0.2">
      <c r="A1194" s="19" t="s">
        <v>28</v>
      </c>
    </row>
    <row r="1195" spans="1:1" x14ac:dyDescent="0.2">
      <c r="A1195" s="21">
        <v>-0.8</v>
      </c>
    </row>
    <row r="1196" spans="1:1" x14ac:dyDescent="0.2">
      <c r="A1196" s="22">
        <v>-0.8</v>
      </c>
    </row>
    <row r="1197" spans="1:1" x14ac:dyDescent="0.2">
      <c r="A1197" s="23" t="s">
        <v>324</v>
      </c>
    </row>
    <row r="1198" spans="1:1" x14ac:dyDescent="0.2">
      <c r="A1198" s="23" t="s">
        <v>325</v>
      </c>
    </row>
    <row r="1199" spans="1:1" x14ac:dyDescent="0.2">
      <c r="A1199" s="20" t="s">
        <v>18</v>
      </c>
    </row>
    <row r="1200" spans="1:1" x14ac:dyDescent="0.2">
      <c r="A1200" s="19" t="s">
        <v>28</v>
      </c>
    </row>
    <row r="1201" spans="1:1" x14ac:dyDescent="0.2">
      <c r="A1201" s="21">
        <v>-0.8</v>
      </c>
    </row>
    <row r="1202" spans="1:1" x14ac:dyDescent="0.2">
      <c r="A1202" s="22">
        <v>-0.8</v>
      </c>
    </row>
  </sheetData>
  <hyperlinks>
    <hyperlink ref="A6" r:id="rId1" display="https://www.predictit.org/account/history/6726?contractId=22830" xr:uid="{13B0FC4F-E953-6C4A-AF6A-28BB05212EDE}"/>
    <hyperlink ref="A13" r:id="rId2" display="https://www.predictit.org/account/history/6726?contractId=22830" xr:uid="{FA24B910-3892-AE43-AC76-85A49A2E4779}"/>
    <hyperlink ref="A20" r:id="rId3" display="https://www.predictit.org/account/history/6726?contractId=22823" xr:uid="{835162E9-7BFA-4247-A5FC-061F1B39ABA9}"/>
    <hyperlink ref="A27" r:id="rId4" display="https://www.predictit.org/account/history/6726?contractId=22823" xr:uid="{7CB21D15-85AF-1644-906E-CA0792DC33FB}"/>
    <hyperlink ref="A34" r:id="rId5" display="https://www.predictit.org/account/history/6726?contractId=22826" xr:uid="{E53567DE-88F2-E64F-B9DC-332A07AC413C}"/>
    <hyperlink ref="A40" r:id="rId6" display="https://www.predictit.org/account/history/6726?contractId=22826" xr:uid="{7BDD8263-5C7C-144C-9E35-3AA2FBB74B23}"/>
    <hyperlink ref="A46" r:id="rId7" display="https://www.predictit.org/account/history/6726?contractId=22827" xr:uid="{C181A698-34F4-F74B-9E37-E6D74C5E85A2}"/>
    <hyperlink ref="A52" r:id="rId8" display="https://www.predictit.org/account/history/6726?contractId=22827" xr:uid="{0D750B0F-9AE5-0B48-AABD-7106B006CA24}"/>
    <hyperlink ref="A58" r:id="rId9" display="https://www.predictit.org/account/history/6726?contractId=22826" xr:uid="{B871CCBF-41CA-C941-A722-DADB2B5E1246}"/>
    <hyperlink ref="A64" r:id="rId10" display="https://www.predictit.org/account/history/6726?contractId=22827" xr:uid="{C4A92DB1-A133-6E46-AE00-6E134ED6A86D}"/>
    <hyperlink ref="A70" r:id="rId11" display="https://www.predictit.org/account/history/6726?contractId=22827" xr:uid="{15725F61-DD6C-1B43-96EA-4F29103F1E20}"/>
    <hyperlink ref="A76" r:id="rId12" display="https://www.predictit.org/account/history/6726?contractId=22827" xr:uid="{CB04662B-CA17-CA49-86CB-FBDD5397FC7B}"/>
    <hyperlink ref="A82" r:id="rId13" display="https://www.predictit.org/account/history/6726?contractId=22827" xr:uid="{D1306FD3-0B20-7842-BA19-FB7A96F66141}"/>
    <hyperlink ref="A88" r:id="rId14" display="https://www.predictit.org/account/history/6726?contractId=22826" xr:uid="{D94410A1-E7F9-B641-9493-B7015073A18A}"/>
    <hyperlink ref="A94" r:id="rId15" display="https://www.predictit.org/account/history/6726?contractId=22826" xr:uid="{3F84473C-0FA0-0F41-B386-937F8E1A2E69}"/>
    <hyperlink ref="A100" r:id="rId16" display="https://www.predictit.org/account/history/6726?contractId=22826" xr:uid="{6684A77D-AECE-6544-B75A-2F6D7BFDDC90}"/>
    <hyperlink ref="A107" r:id="rId17" display="https://www.predictit.org/account/history/6726?contractId=22826" xr:uid="{82F670FB-7958-3C4C-A796-AAC446D4256A}"/>
    <hyperlink ref="A113" r:id="rId18" display="https://www.predictit.org/account/history/6726?contractId=22827" xr:uid="{950E6EBB-DBAD-CD40-A470-2C4E96D2D337}"/>
    <hyperlink ref="A119" r:id="rId19" display="https://www.predictit.org/account/history/6726?contractId=22825" xr:uid="{16C7B584-FE33-3C4D-93F6-7241D0885D17}"/>
    <hyperlink ref="A126" r:id="rId20" display="https://www.predictit.org/account/history/6726?contractId=22825" xr:uid="{7AAE431C-549A-6649-9923-BC51EE62FCEF}"/>
    <hyperlink ref="A133" r:id="rId21" display="https://www.predictit.org/account/history/6726?contractId=22825" xr:uid="{6FA13EC9-62E7-BD48-9202-B94A976815E7}"/>
    <hyperlink ref="A139" r:id="rId22" display="https://www.predictit.org/account/history/6726?contractId=22825" xr:uid="{79E8DCD2-42DD-A740-B41F-DC8B29520E11}"/>
    <hyperlink ref="A145" r:id="rId23" display="https://www.predictit.org/account/history/6726?contractId=22825" xr:uid="{7648AFD4-F7D6-1242-BCB2-0CCDE4164631}"/>
    <hyperlink ref="A151" r:id="rId24" display="https://www.predictit.org/account/history/6726?contractId=22825" xr:uid="{2BA8E20E-3548-A84B-A1DC-8F18D5842E0A}"/>
    <hyperlink ref="A157" r:id="rId25" display="https://www.predictit.org/account/history/6726?contractId=22825" xr:uid="{36AF6B15-69E7-CC40-B435-31C7D12D3C7E}"/>
    <hyperlink ref="A163" r:id="rId26" display="https://www.predictit.org/account/history/6726?contractId=22825" xr:uid="{084C1E2F-E0DB-234D-9BF0-F4263E591E95}"/>
    <hyperlink ref="A169" r:id="rId27" display="https://www.predictit.org/account/history/6726?contractId=22827" xr:uid="{DA4A0A43-BA4E-7A47-83FE-6AC50D1DB049}"/>
    <hyperlink ref="A175" r:id="rId28" display="https://www.predictit.org/account/history/6726?contractId=22827" xr:uid="{7C070E31-E1F0-BD47-B370-2422F404B2A0}"/>
    <hyperlink ref="A181" r:id="rId29" display="https://www.predictit.org/account/history/6726?contractId=22825" xr:uid="{978388F2-C950-7E41-A8C6-B638354D85A9}"/>
    <hyperlink ref="A188" r:id="rId30" display="https://www.predictit.org/account/history/6726?contractId=22825" xr:uid="{DB0EDAF6-6D2F-2544-9F84-7DEF6304B603}"/>
    <hyperlink ref="A194" r:id="rId31" display="https://www.predictit.org/account/history/6726?contractId=22827" xr:uid="{C6D1B668-EFE6-8043-B527-1C408C875E12}"/>
    <hyperlink ref="A200" r:id="rId32" display="https://www.predictit.org/account/history/6726?contractId=22825" xr:uid="{0611673A-8B0C-EC4F-8194-BD1B5DC08F21}"/>
    <hyperlink ref="A206" r:id="rId33" display="https://www.predictit.org/account/history/6726?contractId=22825" xr:uid="{2EEDC004-6494-F049-A585-A3BCB0A20237}"/>
    <hyperlink ref="A212" r:id="rId34" display="https://www.predictit.org/account/history/6726?contractId=22827" xr:uid="{5216E005-CE91-014B-B3AA-B655E21EA40B}"/>
    <hyperlink ref="A218" r:id="rId35" display="https://www.predictit.org/account/history/6726?contractId=22825" xr:uid="{B7A0A0FE-797F-0D45-99BF-5ED78FDA6C14}"/>
    <hyperlink ref="A224" r:id="rId36" display="https://www.predictit.org/account/history/6726?contractId=22825" xr:uid="{4F4532D9-1DF6-A540-AD36-02FE63E3528D}"/>
    <hyperlink ref="A230" r:id="rId37" display="https://www.predictit.org/account/history/6726?contractId=22825" xr:uid="{64E7B16D-8E64-C949-A59C-5F188C923260}"/>
    <hyperlink ref="A236" r:id="rId38" display="https://www.predictit.org/account/history/6726?contractId=22827" xr:uid="{FE4F99CA-302E-794B-B9D9-8D6E49DD8247}"/>
    <hyperlink ref="A242" r:id="rId39" display="https://www.predictit.org/account/history/6726?contractId=22827" xr:uid="{EEF5084A-374A-0440-9658-B9FC2AD34EC3}"/>
    <hyperlink ref="A248" r:id="rId40" display="https://www.predictit.org/account/history/6726?contractId=22825" xr:uid="{93B44C8C-7999-F546-8A4A-1D33C265409C}"/>
    <hyperlink ref="A254" r:id="rId41" display="https://www.predictit.org/account/history/6726?contractId=22825" xr:uid="{149C681F-7558-D64B-829E-5CC68495AF66}"/>
    <hyperlink ref="A260" r:id="rId42" display="https://www.predictit.org/account/history/6726?contractId=22825" xr:uid="{197265E3-98D2-CE4E-BB73-EADBA5056C7A}"/>
    <hyperlink ref="A266" r:id="rId43" display="https://www.predictit.org/account/history/6726?contractId=22825" xr:uid="{C9BB96A6-C57C-524B-B448-9633436D5369}"/>
    <hyperlink ref="A273" r:id="rId44" display="https://www.predictit.org/account/history/6726?contractId=22825" xr:uid="{46C8D487-8890-7D42-B0F8-595F5DAB1B6F}"/>
    <hyperlink ref="A280" r:id="rId45" display="https://www.predictit.org/account/history/6726?contractId=22825" xr:uid="{246F1BC0-9B7A-8F49-A534-561092D80B67}"/>
    <hyperlink ref="A286" r:id="rId46" display="https://www.predictit.org/account/history/6726?contractId=22825" xr:uid="{E4D96438-1DB0-574C-B31F-833DC3D47DFD}"/>
    <hyperlink ref="A292" r:id="rId47" display="https://www.predictit.org/account/history/6726?contractId=22825" xr:uid="{08676CAE-BAA4-C444-8426-B2EEFE8455FC}"/>
    <hyperlink ref="A298" r:id="rId48" display="https://www.predictit.org/account/history/6726?contractId=22825" xr:uid="{49790724-3C5B-484F-8A78-B453354F5985}"/>
    <hyperlink ref="A304" r:id="rId49" display="https://www.predictit.org/account/history/6726?contractId=22825" xr:uid="{2EC8A559-8A7E-9046-9D47-4D7580484B0E}"/>
    <hyperlink ref="A310" r:id="rId50" display="https://www.predictit.org/account/history/6726?contractId=22825" xr:uid="{3855E757-3198-3448-94B3-E0CF13BC2F2D}"/>
    <hyperlink ref="A316" r:id="rId51" display="https://www.predictit.org/account/history/6726?contractId=22827" xr:uid="{89932E57-58EA-2C49-B6BB-B8298FDA666B}"/>
    <hyperlink ref="A322" r:id="rId52" display="https://www.predictit.org/account/history/6726?contractId=22827" xr:uid="{8197506A-5644-094F-BEC1-1877D0759632}"/>
    <hyperlink ref="A328" r:id="rId53" display="https://www.predictit.org/account/history/6726?contractId=22827" xr:uid="{D562940A-CA96-A240-B98D-28A0CFC6442F}"/>
    <hyperlink ref="A334" r:id="rId54" display="https://www.predictit.org/account/history/6726?contractId=22825" xr:uid="{54AB2D52-6119-DE48-9531-158D8C658AC3}"/>
    <hyperlink ref="A340" r:id="rId55" display="https://www.predictit.org/account/history/6726?contractId=22827" xr:uid="{DEE36403-1112-5446-B010-2343FBB9F178}"/>
    <hyperlink ref="A346" r:id="rId56" display="https://www.predictit.org/account/history/6726?contractId=22825" xr:uid="{53979E26-AF3C-A14E-B7F7-472F65726018}"/>
    <hyperlink ref="A352" r:id="rId57" display="https://www.predictit.org/account/history/6726?contractId=22825" xr:uid="{27152B4E-01AE-A146-92F5-EEAA48BC6009}"/>
    <hyperlink ref="A358" r:id="rId58" display="https://www.predictit.org/account/history/6726?contractId=22825" xr:uid="{DE8CCFF1-E422-334D-B310-12078DEA3CAC}"/>
    <hyperlink ref="A364" r:id="rId59" display="https://www.predictit.org/account/history/6726?contractId=22825" xr:uid="{9FCFC1FB-8BB4-6A42-A984-BC32220F1E42}"/>
    <hyperlink ref="A370" r:id="rId60" display="https://www.predictit.org/account/history/6726?contractId=22825" xr:uid="{649DF950-4625-CB40-9036-C4AE465E707E}"/>
    <hyperlink ref="A376" r:id="rId61" display="https://www.predictit.org/account/history/6726?contractId=22825" xr:uid="{D04EB182-1CD6-7545-A07B-178E285FEF96}"/>
    <hyperlink ref="A382" r:id="rId62" display="https://www.predictit.org/account/history/6726?contractId=22825" xr:uid="{5660AEBC-52C4-E345-80F9-85F9B0C7EF78}"/>
    <hyperlink ref="A388" r:id="rId63" display="https://www.predictit.org/account/history/6726?contractId=22825" xr:uid="{082796BF-9E76-744F-8552-834D48D1EB2E}"/>
    <hyperlink ref="A394" r:id="rId64" display="https://www.predictit.org/account/history/6726?contractId=22825" xr:uid="{D4714B48-82AA-E349-AEE8-3AFEA528F6D0}"/>
    <hyperlink ref="A400" r:id="rId65" display="https://www.predictit.org/account/history/6726?contractId=22825" xr:uid="{1F4FA126-A4E8-C64F-ADF2-C7A91F320E5E}"/>
    <hyperlink ref="A406" r:id="rId66" display="https://www.predictit.org/account/history/6726?contractId=22827" xr:uid="{CDED849A-D154-064A-9386-088FD870BCD8}"/>
    <hyperlink ref="A412" r:id="rId67" display="https://www.predictit.org/account/history/6726?contractId=22825" xr:uid="{3769DCD0-3652-BE4C-99A0-A1436D34370C}"/>
    <hyperlink ref="A418" r:id="rId68" display="https://www.predictit.org/account/history/6726?contractId=22825" xr:uid="{6938F9E8-1472-604C-A617-B455F8A783BE}"/>
    <hyperlink ref="A424" r:id="rId69" display="https://www.predictit.org/account/history/6726?contractId=22825" xr:uid="{D42958D6-00FE-E745-9D92-EB27B0C7A215}"/>
    <hyperlink ref="A430" r:id="rId70" display="https://www.predictit.org/account/history/6726?contractId=22824" xr:uid="{EA73543D-3DDE-5A46-ABC0-EFC0E246994C}"/>
    <hyperlink ref="A437" r:id="rId71" display="https://www.predictit.org/account/history/6726?contractId=22824" xr:uid="{98E62002-5491-6A4A-B241-C7A1D9898ABA}"/>
    <hyperlink ref="A444" r:id="rId72" display="https://www.predictit.org/account/history/6726?contractId=22825" xr:uid="{5F4D3BDD-19DB-3A41-92C3-8FE417E97901}"/>
    <hyperlink ref="A450" r:id="rId73" display="https://www.predictit.org/account/history/6726?contractId=22824" xr:uid="{98E2830D-B828-3C44-98AC-337C6880BFBE}"/>
    <hyperlink ref="A456" r:id="rId74" display="https://www.predictit.org/account/history/6726?contractId=22824" xr:uid="{C3B7DB87-9962-8049-9C5B-7A1117332175}"/>
    <hyperlink ref="A462" r:id="rId75" display="https://www.predictit.org/account/history/6726?contractId=22824" xr:uid="{AE834C09-E0C0-5B40-989F-D7C0771DE2D6}"/>
    <hyperlink ref="A468" r:id="rId76" display="https://www.predictit.org/account/history/6726?contractId=22830" xr:uid="{EF7A6CEB-1463-974D-9689-D64789BD8228}"/>
    <hyperlink ref="A474" r:id="rId77" display="https://www.predictit.org/account/history/6726?contractId=22830" xr:uid="{67A8E552-2ABE-DE4C-B58E-61D3625CEE91}"/>
    <hyperlink ref="A480" r:id="rId78" display="https://www.predictit.org/account/history/6726?contractId=22830" xr:uid="{A6FEC29F-5B50-BF4C-8C69-5D5C9B55BA8C}"/>
    <hyperlink ref="A486" r:id="rId79" display="https://www.predictit.org/account/history/6726?contractId=22830" xr:uid="{D1BE51C3-4D24-6349-BC82-EDC833F1F1B4}"/>
    <hyperlink ref="A492" r:id="rId80" display="https://www.predictit.org/account/history/6726?contractId=22830" xr:uid="{DAA7AAFE-95B5-E94D-8F4B-1D28441A86F0}"/>
    <hyperlink ref="A498" r:id="rId81" display="https://www.predictit.org/account/history/6726?contractId=22830" xr:uid="{B683D267-0A12-D949-99F8-225E46811D66}"/>
    <hyperlink ref="A504" r:id="rId82" display="https://www.predictit.org/account/history/6726?contractId=22830" xr:uid="{3D190AE2-005E-6C4B-BB1C-760E522773D2}"/>
    <hyperlink ref="A510" r:id="rId83" display="https://www.predictit.org/account/history/6726?contractId=22824" xr:uid="{6B7F12E8-5758-3B45-9E06-FC516C246BD0}"/>
    <hyperlink ref="A517" r:id="rId84" display="https://www.predictit.org/account/history/6726?contractId=22824" xr:uid="{78EAF9BE-61D8-DF4C-AFE3-399E6A107562}"/>
    <hyperlink ref="A524" r:id="rId85" display="https://www.predictit.org/account/history/6726?contractId=22824" xr:uid="{CD122ED1-8A9B-3C4A-A491-288E0944FE1D}"/>
    <hyperlink ref="A531" r:id="rId86" display="https://www.predictit.org/account/history/6726?contractId=22830" xr:uid="{47688D9D-9AA7-7C4A-B2C8-AF5A6AD23212}"/>
    <hyperlink ref="A538" r:id="rId87" display="https://www.predictit.org/account/history/6726?contractId=22830" xr:uid="{8E1AD84B-AE54-FC46-A944-47D2E56D8B6D}"/>
    <hyperlink ref="A545" r:id="rId88" display="https://www.predictit.org/account/history/6726?contractId=22828" xr:uid="{78EEE64C-D1DF-5647-A714-A14036930049}"/>
    <hyperlink ref="A552" r:id="rId89" display="https://www.predictit.org/account/history/6726?contractId=22828" xr:uid="{16F44D0B-E49A-C547-BD20-31A8CD068DE5}"/>
    <hyperlink ref="A559" r:id="rId90" display="https://www.predictit.org/account/history/6726?contractId=22830" xr:uid="{9A69A3A2-F532-3C4B-B1EE-507C55732407}"/>
    <hyperlink ref="A566" r:id="rId91" display="https://www.predictit.org/account/history/6726?contractId=22830" xr:uid="{6A899BA4-8F2D-7342-94FF-B17242486E93}"/>
    <hyperlink ref="A573" r:id="rId92" display="https://www.predictit.org/account/history/6726?contractId=22830" xr:uid="{3FEB0B7B-3751-B34C-A18B-D17A55F9539A}"/>
    <hyperlink ref="A580" r:id="rId93" display="https://www.predictit.org/account/history/6726?contractId=22825" xr:uid="{BDB88B35-3049-324C-B378-94FEAD0D3A91}"/>
    <hyperlink ref="A587" r:id="rId94" display="https://www.predictit.org/account/history/6726?contractId=22825" xr:uid="{A828BE63-8550-EF4F-9C0E-19FFB3DC902F}"/>
    <hyperlink ref="A594" r:id="rId95" display="https://www.predictit.org/account/history/6726?contractId=22830" xr:uid="{4A564E39-444D-FC47-9280-5347AC998381}"/>
    <hyperlink ref="A600" r:id="rId96" display="https://www.predictit.org/account/history/6726?contractId=22824" xr:uid="{DEECE39D-95B2-1E43-85C1-5E13FA961976}"/>
    <hyperlink ref="A606" r:id="rId97" display="https://www.predictit.org/account/history/6726?contractId=22824" xr:uid="{CA7AD33A-669B-B349-B337-06D92DC6CE0A}"/>
    <hyperlink ref="A612" r:id="rId98" display="https://www.predictit.org/account/history/6726?contractId=22830" xr:uid="{ACF598DC-956F-4643-9F20-0060A342E3A1}"/>
    <hyperlink ref="A618" r:id="rId99" display="https://www.predictit.org/account/history/6726?contractId=22824" xr:uid="{93D8EFE3-24D2-6148-9B11-CBC9819CEB40}"/>
    <hyperlink ref="A624" r:id="rId100" display="https://www.predictit.org/account/history/6726?contractId=22824" xr:uid="{5FC440E3-04D3-4249-8218-AA65D80933F8}"/>
    <hyperlink ref="A630" r:id="rId101" display="https://www.predictit.org/account/history/6726?contractId=22830" xr:uid="{20C4963B-5C6A-364E-BA98-F3FD602CD7F5}"/>
    <hyperlink ref="A637" r:id="rId102" display="https://www.predictit.org/account/history/6726?contractId=22830" xr:uid="{A25C341A-5371-D840-90BF-AF3F34661816}"/>
    <hyperlink ref="A644" r:id="rId103" display="https://www.predictit.org/account/history/6726?contractId=22830" xr:uid="{F97ADD06-738F-B741-A715-FBA58B3E051B}"/>
    <hyperlink ref="A650" r:id="rId104" display="https://www.predictit.org/account/history/6726?contractId=22825" xr:uid="{40AB23ED-EBA0-B842-A665-10C911BF1D12}"/>
    <hyperlink ref="A656" r:id="rId105" display="https://www.predictit.org/account/history/6726?contractId=22825" xr:uid="{BC146996-CD2C-D14D-9DF3-D80D38180934}"/>
    <hyperlink ref="A663" r:id="rId106" display="https://www.predictit.org/account/history/6726?contractId=22825" xr:uid="{E5FD1A35-E5B6-FE42-9BFD-B9AE5A76589B}"/>
    <hyperlink ref="A669" r:id="rId107" display="https://www.predictit.org/account/history/6726?contractId=22828" xr:uid="{4EC78EB3-9207-534C-BDC4-54AEDB7DB3D1}"/>
    <hyperlink ref="A675" r:id="rId108" display="https://www.predictit.org/account/history/6726?contractId=22828" xr:uid="{F5E89757-FB03-264B-AD5A-7071D684F3E4}"/>
    <hyperlink ref="A681" r:id="rId109" display="https://www.predictit.org/account/history/6726?contractId=22828" xr:uid="{41B2B727-A40B-A14E-A1C1-BD35187CAABB}"/>
    <hyperlink ref="A687" r:id="rId110" display="https://www.predictit.org/account/history/6726?contractId=22825" xr:uid="{297F2E0A-BB3E-9C40-AC53-A832966C69A6}"/>
    <hyperlink ref="A693" r:id="rId111" display="https://www.predictit.org/account/history/6726?contractId=22828" xr:uid="{9D6DA2A9-3804-1F49-A92D-863F0F98D443}"/>
    <hyperlink ref="A699" r:id="rId112" display="https://www.predictit.org/account/history/6726?contractId=22828" xr:uid="{BDF36B80-12C0-F644-B70F-F9AFE98BA229}"/>
    <hyperlink ref="A705" r:id="rId113" display="https://www.predictit.org/account/history/6726?contractId=22828" xr:uid="{37D6B34D-8B5B-E84E-B083-A951A63799A9}"/>
    <hyperlink ref="A711" r:id="rId114" display="https://www.predictit.org/account/history/6726?contractId=22825" xr:uid="{A7BA6F10-99C4-AF40-881F-920CAA85EBCE}"/>
    <hyperlink ref="A717" r:id="rId115" display="https://www.predictit.org/account/history/6726?contractId=22828" xr:uid="{4EFE77C4-38C8-304E-976A-A995AA0F17A2}"/>
    <hyperlink ref="A723" r:id="rId116" display="https://www.predictit.org/account/history/6726?contractId=22828" xr:uid="{5113A813-C28B-404B-87FF-71A6D3F0D7E2}"/>
    <hyperlink ref="A729" r:id="rId117" display="https://www.predictit.org/account/history/6726?contractId=22828" xr:uid="{79B83EA7-8DA4-624F-9D42-4766DBEA1388}"/>
    <hyperlink ref="A735" r:id="rId118" display="https://www.predictit.org/account/history/6726?contractId=22828" xr:uid="{ACC0092F-B1C3-1D42-8219-EA101065B069}"/>
    <hyperlink ref="A741" r:id="rId119" display="https://www.predictit.org/account/history/6726?contractId=22825" xr:uid="{BF76F2AE-2BFE-C949-80BE-886092A54CE4}"/>
    <hyperlink ref="A747" r:id="rId120" display="https://www.predictit.org/account/history/6726?contractId=22825" xr:uid="{E8338A04-6E81-3C48-9F8C-2829D7FED429}"/>
    <hyperlink ref="A753" r:id="rId121" display="https://www.predictit.org/account/history/6726?contractId=22823" xr:uid="{7C62E3FE-CF24-6542-9184-A3993CF07FE1}"/>
    <hyperlink ref="A759" r:id="rId122" display="https://www.predictit.org/account/history/6726?contractId=22823" xr:uid="{F263443E-46FE-584F-81E5-6BD9B3822A91}"/>
    <hyperlink ref="A765" r:id="rId123" display="https://www.predictit.org/account/history/6726?contractId=22823" xr:uid="{35E655DD-A43E-8F45-AA37-050450381EB7}"/>
    <hyperlink ref="A771" r:id="rId124" display="https://www.predictit.org/account/history/6726?contractId=22823" xr:uid="{A725DF42-D771-254F-B32E-70C96316DDCE}"/>
    <hyperlink ref="A777" r:id="rId125" display="https://www.predictit.org/account/history/6726?contractId=22828" xr:uid="{6165EED9-1E38-BA4E-AC83-F8643A55F76E}"/>
    <hyperlink ref="A784" r:id="rId126" display="https://www.predictit.org/account/history/6726?contractId=22828" xr:uid="{19CE415B-D08E-7B46-AB84-13EA997AEA97}"/>
    <hyperlink ref="A791" r:id="rId127" display="https://www.predictit.org/account/history/6726?contractId=22823" xr:uid="{2B95E785-5892-DF46-AB28-0791CAFDB40E}"/>
    <hyperlink ref="A797" r:id="rId128" display="https://www.predictit.org/account/history/6726?contractId=22828" xr:uid="{C0517580-BDFC-4340-A7ED-8E78A16D14AD}"/>
    <hyperlink ref="A803" r:id="rId129" display="https://www.predictit.org/account/history/6726?contractId=22828" xr:uid="{C27F99FD-8462-8B4D-8EFB-4C8A11A248AE}"/>
    <hyperlink ref="A809" r:id="rId130" display="https://www.predictit.org/account/history/6726?contractId=22823" xr:uid="{4F50694F-6D4C-414C-A55C-1635ED5DF275}"/>
    <hyperlink ref="A815" r:id="rId131" display="https://www.predictit.org/account/history/6726?contractId=22823" xr:uid="{332DB98D-CA7C-A34D-9B1A-3A820A444FBD}"/>
    <hyperlink ref="A821" r:id="rId132" display="https://www.predictit.org/account/history/6726?contractId=22823" xr:uid="{C7D75133-61C3-9C49-9F14-ADC05549F82C}"/>
    <hyperlink ref="A827" r:id="rId133" display="https://www.predictit.org/account/history/6726?contractId=22823" xr:uid="{4301D337-548A-7A4D-A832-1BE2637BD6B9}"/>
    <hyperlink ref="A834" r:id="rId134" display="https://www.predictit.org/account/history/6726?contractId=22823" xr:uid="{BA9B153F-6541-394C-844A-C04C5FC013A7}"/>
    <hyperlink ref="A841" r:id="rId135" display="https://www.predictit.org/account/history/6726?contractId=22825" xr:uid="{3BBFDAAE-152B-CF42-9D2E-C682860F0EE2}"/>
    <hyperlink ref="A848" r:id="rId136" display="https://www.predictit.org/account/history/6726?contractId=22825" xr:uid="{4A2DB705-3752-1B4A-B802-E335FC390874}"/>
    <hyperlink ref="A855" r:id="rId137" display="https://www.predictit.org/account/history/6726?contractId=22824" xr:uid="{1807CD09-9742-2643-9975-FAA27EF2665F}"/>
    <hyperlink ref="A862" r:id="rId138" display="https://www.predictit.org/account/history/6726?contractId=22823" xr:uid="{EFD582A6-0253-4E48-91BA-7CFD407CBE7C}"/>
    <hyperlink ref="A868" r:id="rId139" display="https://www.predictit.org/account/history/6726?contractId=22823" xr:uid="{AA6D0662-2A25-BF43-BF2F-072EE9478E74}"/>
    <hyperlink ref="A874" r:id="rId140" display="https://www.predictit.org/account/history/6726?contractId=22823" xr:uid="{F41D1C02-4FD1-D242-98CB-1DF63FC57A11}"/>
    <hyperlink ref="A880" r:id="rId141" display="https://www.predictit.org/account/history/6726?contractId=22823" xr:uid="{7F47B4A5-E92B-1444-A3B6-A03FDFE7042F}"/>
    <hyperlink ref="A886" r:id="rId142" display="https://www.predictit.org/account/history/6726?contractId=22825" xr:uid="{51B493AE-4DD8-0A46-B293-1B56A901DF8A}"/>
    <hyperlink ref="A893" r:id="rId143" display="https://www.predictit.org/account/history/6726?contractId=22824" xr:uid="{40BF627D-4FBB-2C4F-8B9C-DE5E0F8BAD04}"/>
    <hyperlink ref="A900" r:id="rId144" display="https://www.predictit.org/account/history/6726?contractId=22825" xr:uid="{AD86F9D5-D263-3542-822E-ED6360CBE86C}"/>
    <hyperlink ref="A907" r:id="rId145" display="https://www.predictit.org/account/history/6726?contractId=22824" xr:uid="{8172386A-7EEE-4B45-9198-65B89F4EF3F4}"/>
    <hyperlink ref="A914" r:id="rId146" display="https://www.predictit.org/account/history/6726?contractId=22830" xr:uid="{BA5E3D9C-2A56-D044-B17D-B1AECFCBA69F}"/>
    <hyperlink ref="A921" r:id="rId147" display="https://www.predictit.org/account/history/6726?contractId=22830" xr:uid="{F64D184A-5DD8-324E-B1FA-54B93CAB2ED5}"/>
    <hyperlink ref="A928" r:id="rId148" display="https://www.predictit.org/account/history/6726?contractId=22823" xr:uid="{CD485056-D8C4-D442-AFDF-6D29A8DF1ADB}"/>
    <hyperlink ref="A934" r:id="rId149" display="https://www.predictit.org/account/history/6726?contractId=22823" xr:uid="{C8B36A86-18B4-044D-AE62-7E0C9E0D53D8}"/>
    <hyperlink ref="A940" r:id="rId150" display="https://www.predictit.org/account/history/6726?contractId=22823" xr:uid="{77173A52-ADBD-F24B-9A32-369A68D6DD4A}"/>
    <hyperlink ref="A946" r:id="rId151" display="https://www.predictit.org/account/history/6726?contractId=22823" xr:uid="{FAF2CA2B-3030-594D-8A27-02CF72F09BCC}"/>
    <hyperlink ref="A952" r:id="rId152" display="https://www.predictit.org/account/history/6726?contractId=22823" xr:uid="{444DEC14-7DBB-0A4A-9F2B-D259E76CA411}"/>
    <hyperlink ref="A958" r:id="rId153" display="https://www.predictit.org/account/history/6726?contractId=22823" xr:uid="{F3AE8FB6-07DE-7846-9E1E-443E250AD0A6}"/>
    <hyperlink ref="A964" r:id="rId154" display="https://www.predictit.org/account/history/6726?contractId=22823" xr:uid="{95881FDD-1082-A240-B3A4-E4949A7920DF}"/>
    <hyperlink ref="A970" r:id="rId155" display="https://www.predictit.org/account/history/6726?contractId=22823" xr:uid="{A6D244C9-EFA8-B04F-81BF-6EB4161148A8}"/>
    <hyperlink ref="A976" r:id="rId156" display="https://www.predictit.org/account/history/6726?contractId=22823" xr:uid="{7B1CC7B4-30DD-5743-8D6C-F0BC34F22F47}"/>
    <hyperlink ref="A982" r:id="rId157" display="https://www.predictit.org/account/history/6726?contractId=22823" xr:uid="{4CE8D98E-4566-B34C-B2DC-A01A5D8547FA}"/>
    <hyperlink ref="A988" r:id="rId158" display="https://www.predictit.org/account/history/6726?contractId=22823" xr:uid="{555CFA1B-F937-284C-824D-0B8D03EEC7C2}"/>
    <hyperlink ref="A994" r:id="rId159" display="https://www.predictit.org/account/history/6726?contractId=22828" xr:uid="{E07FEBDC-58F4-684B-B659-7C9F36970FE6}"/>
    <hyperlink ref="A1000" r:id="rId160" display="https://www.predictit.org/account/history/6726?contractId=22828" xr:uid="{C465D689-2019-CA4B-B7B8-F6BA60F1A0F2}"/>
    <hyperlink ref="A1006" r:id="rId161" display="https://www.predictit.org/account/history/6726?contractId=22823" xr:uid="{4190A814-D0E8-D044-9166-5422AD6A02E7}"/>
    <hyperlink ref="A1012" r:id="rId162" display="https://www.predictit.org/account/history/6726?contractId=22823" xr:uid="{688EA3CE-2DD1-394B-8222-EF6D8157A708}"/>
    <hyperlink ref="A1018" r:id="rId163" display="https://www.predictit.org/account/history/6726?contractId=22823" xr:uid="{264533FD-DAC4-4846-951F-1D5E72033ECA}"/>
    <hyperlink ref="A1024" r:id="rId164" display="https://www.predictit.org/account/history/6726?contractId=22823" xr:uid="{B9DFE7B1-5705-9C44-B3D4-273BAEAE37C4}"/>
    <hyperlink ref="A1030" r:id="rId165" display="https://www.predictit.org/account/history/6726?contractId=22823" xr:uid="{4582A0F0-E7A6-634B-BD99-90DA21E7FCA1}"/>
    <hyperlink ref="A1036" r:id="rId166" display="https://www.predictit.org/account/history/6726?contractId=22830" xr:uid="{2437B612-B4B2-4443-B99A-0B1E29F1BD4A}"/>
    <hyperlink ref="A1042" r:id="rId167" display="https://www.predictit.org/account/history/6726?contractId=22830" xr:uid="{18410744-3484-BD43-BDF9-5A21CEC653B6}"/>
    <hyperlink ref="A1048" r:id="rId168" display="https://www.predictit.org/account/history/6726?contractId=22828" xr:uid="{6A4A7A20-5218-BD48-B2C9-6C60DEE50E8A}"/>
    <hyperlink ref="A1054" r:id="rId169" display="https://www.predictit.org/account/history/6726?contractId=22823" xr:uid="{16D02BD7-D1BB-D346-AF8A-6B4F34D09DE2}"/>
    <hyperlink ref="A1061" r:id="rId170" display="https://www.predictit.org/account/history/6726?contractId=22823" xr:uid="{E34C0A9B-7205-A349-8D29-093EC472865E}"/>
    <hyperlink ref="A1068" r:id="rId171" display="https://www.predictit.org/account/history/6726?contractId=22823" xr:uid="{33F5E20E-7E38-424C-8C6B-0BF572411D3D}"/>
    <hyperlink ref="A1075" r:id="rId172" display="https://www.predictit.org/account/history/6726?contractId=22825" xr:uid="{CC4131D4-3434-004E-A79D-8D8ADBDB470E}"/>
    <hyperlink ref="A1081" r:id="rId173" display="https://www.predictit.org/account/history/6726?contractId=22823" xr:uid="{297ACBC6-2164-8644-8929-0D5501BFA752}"/>
    <hyperlink ref="A1088" r:id="rId174" display="https://www.predictit.org/account/history/6726?contractId=22824" xr:uid="{EC509140-EFAC-B240-96E5-7D1ED2B1B22A}"/>
    <hyperlink ref="A1094" r:id="rId175" display="https://www.predictit.org/account/history/6726?contractId=22823" xr:uid="{309555F4-8893-4D43-A7DA-AA9D877F8E23}"/>
    <hyperlink ref="A1100" r:id="rId176" display="https://www.predictit.org/account/history/6726?contractId=22823" xr:uid="{4BE16602-2677-0849-853B-ECC2BD8B9256}"/>
    <hyperlink ref="A1106" r:id="rId177" display="https://www.predictit.org/account/history/6726?contractId=22823" xr:uid="{26617BEA-791F-644A-962A-6A3ED82D65B6}"/>
    <hyperlink ref="A1112" r:id="rId178" display="https://www.predictit.org/account/history/6726?contractId=22823" xr:uid="{8051663C-994C-DF43-AC02-400971D8670B}"/>
    <hyperlink ref="A1118" r:id="rId179" display="https://www.predictit.org/account/history/6726?contractId=22823" xr:uid="{170AEFDB-A92C-934E-A4B8-32E9882FA94E}"/>
    <hyperlink ref="A1124" r:id="rId180" display="https://www.predictit.org/account/history/6726?contractId=22823" xr:uid="{7BD48A18-E5F4-D74E-B5E3-EA068F853BBE}"/>
    <hyperlink ref="A1131" r:id="rId181" display="https://www.predictit.org/account/history/6726?contractId=22823" xr:uid="{0CC83CD8-1804-8144-BA2B-41A63BF55121}"/>
    <hyperlink ref="A1137" r:id="rId182" display="https://www.predictit.org/account/history/6726?contractId=22831" xr:uid="{83CDAD84-24F3-4C47-89ED-F18C88CA2470}"/>
    <hyperlink ref="A1143" r:id="rId183" display="https://www.predictit.org/account/history/6726?contractId=22831" xr:uid="{B649590A-A6B7-8C4D-84B2-007F188F3128}"/>
    <hyperlink ref="A1149" r:id="rId184" display="https://www.predictit.org/account/history/6726?contractId=22831" xr:uid="{1F1B1B55-C471-7448-A77E-10D516E507A0}"/>
    <hyperlink ref="A1155" r:id="rId185" display="https://www.predictit.org/account/history/6726?contractId=22831" xr:uid="{FFE12931-8CDF-DA42-9034-612AABEB9E4E}"/>
    <hyperlink ref="A1161" r:id="rId186" display="https://www.predictit.org/account/history/6726?contractId=22823" xr:uid="{591AB67F-1FAD-434F-8BD1-DE9F86A9468B}"/>
    <hyperlink ref="A1167" r:id="rId187" display="https://www.predictit.org/account/history/6726?contractId=22823" xr:uid="{2FEECEF4-2D8C-9748-ABB7-3089DC85ACB1}"/>
    <hyperlink ref="A1173" r:id="rId188" display="https://www.predictit.org/account/history/6726?contractId=22823" xr:uid="{CC6C36DA-A3BB-C94C-9CED-2018850DBFF7}"/>
    <hyperlink ref="A1179" r:id="rId189" display="https://www.predictit.org/account/history/6726?contractId=22823" xr:uid="{E866B5B5-2CC8-C74A-B2B6-B475B9CA8424}"/>
    <hyperlink ref="A1186" r:id="rId190" display="https://www.predictit.org/account/history/6726?contractId=22823" xr:uid="{DBA10719-52C0-354C-979B-6AD2D24B10CF}"/>
    <hyperlink ref="A1193" r:id="rId191" display="https://www.predictit.org/account/history/6726?contractId=22823" xr:uid="{417570DE-142D-034C-9884-9F78E918210A}"/>
    <hyperlink ref="A1199" r:id="rId192" display="https://www.predictit.org/account/history/6726?contractId=22823" xr:uid="{57641433-A0BA-F347-8CE8-ACC787102BA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2020-05-08T16:25:47Z</dcterms:created>
  <dcterms:modified xsi:type="dcterms:W3CDTF">2020-06-04T16:28:42Z</dcterms:modified>
</cp:coreProperties>
</file>